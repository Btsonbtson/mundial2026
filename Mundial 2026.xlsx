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edirectgr-my.sharepoint.com/personal/boikos_y_caredirect_com/Documents/Επιφάνεια εργασίας/"/>
    </mc:Choice>
  </mc:AlternateContent>
  <xr:revisionPtr revIDLastSave="0" documentId="8_{06E872F4-56F2-472B-9255-CA35DAF4E93D}" xr6:coauthVersionLast="47" xr6:coauthVersionMax="47" xr10:uidLastSave="{00000000-0000-0000-0000-000000000000}"/>
  <bookViews>
    <workbookView xWindow="-100" yWindow="-100" windowWidth="21467" windowHeight="11443" xr2:uid="{7A184EC6-083F-4664-9D45-70F51D64F255}"/>
  </bookViews>
  <sheets>
    <sheet name="WORLD CUP" sheetId="1" r:id="rId1"/>
  </sheets>
  <definedNames>
    <definedName name="_xlnm._FilterDatabase" localSheetId="0" hidden="1">'WORLD CUP'!$A$4:$D$179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79" i="1" l="1"/>
  <c r="Z179" i="1"/>
  <c r="S179" i="1"/>
  <c r="AG178" i="1"/>
  <c r="Z178" i="1"/>
  <c r="S178" i="1"/>
  <c r="AG177" i="1"/>
  <c r="Z177" i="1"/>
  <c r="S177" i="1"/>
  <c r="AG176" i="1"/>
  <c r="Z176" i="1"/>
  <c r="S176" i="1"/>
  <c r="AG175" i="1"/>
  <c r="Z175" i="1"/>
  <c r="S175" i="1"/>
  <c r="AG174" i="1"/>
  <c r="Z174" i="1"/>
  <c r="S174" i="1"/>
  <c r="AG173" i="1"/>
  <c r="AF173" i="1"/>
  <c r="AE173" i="1"/>
  <c r="Y173" i="1"/>
  <c r="X173" i="1"/>
  <c r="R173" i="1"/>
  <c r="S173" i="1" s="1"/>
  <c r="Q173" i="1"/>
  <c r="L173" i="1"/>
  <c r="Z173" i="1" s="1"/>
  <c r="AF172" i="1"/>
  <c r="AG172" i="1" s="1"/>
  <c r="AE172" i="1"/>
  <c r="Y172" i="1"/>
  <c r="Z172" i="1" s="1"/>
  <c r="X172" i="1"/>
  <c r="R172" i="1"/>
  <c r="S172" i="1" s="1"/>
  <c r="Q172" i="1"/>
  <c r="L172" i="1"/>
  <c r="AF171" i="1"/>
  <c r="AE171" i="1"/>
  <c r="Y171" i="1"/>
  <c r="Z171" i="1" s="1"/>
  <c r="X171" i="1"/>
  <c r="R171" i="1"/>
  <c r="S171" i="1" s="1"/>
  <c r="Q171" i="1"/>
  <c r="L171" i="1"/>
  <c r="AG171" i="1" s="1"/>
  <c r="AG170" i="1"/>
  <c r="AF170" i="1"/>
  <c r="AE170" i="1"/>
  <c r="Y170" i="1"/>
  <c r="Z170" i="1" s="1"/>
  <c r="X170" i="1"/>
  <c r="R170" i="1"/>
  <c r="S170" i="1" s="1"/>
  <c r="Q170" i="1"/>
  <c r="L170" i="1"/>
  <c r="AF169" i="1"/>
  <c r="AE169" i="1"/>
  <c r="Y169" i="1"/>
  <c r="Z169" i="1" s="1"/>
  <c r="X169" i="1"/>
  <c r="R169" i="1"/>
  <c r="S169" i="1" s="1"/>
  <c r="Q169" i="1"/>
  <c r="L169" i="1"/>
  <c r="AG169" i="1" s="1"/>
  <c r="AG168" i="1"/>
  <c r="AF168" i="1"/>
  <c r="AE168" i="1"/>
  <c r="Y168" i="1"/>
  <c r="Z168" i="1" s="1"/>
  <c r="X168" i="1"/>
  <c r="R168" i="1"/>
  <c r="S168" i="1" s="1"/>
  <c r="Q168" i="1"/>
  <c r="L168" i="1"/>
  <c r="AG167" i="1"/>
  <c r="AF167" i="1"/>
  <c r="AE167" i="1"/>
  <c r="Y167" i="1"/>
  <c r="Z167" i="1" s="1"/>
  <c r="X167" i="1"/>
  <c r="R167" i="1"/>
  <c r="S167" i="1" s="1"/>
  <c r="Q167" i="1"/>
  <c r="L167" i="1"/>
  <c r="AF166" i="1"/>
  <c r="AG166" i="1" s="1"/>
  <c r="AE166" i="1"/>
  <c r="Y166" i="1"/>
  <c r="Z166" i="1" s="1"/>
  <c r="X166" i="1"/>
  <c r="R166" i="1"/>
  <c r="Q166" i="1"/>
  <c r="L166" i="1"/>
  <c r="S166" i="1" s="1"/>
  <c r="AF165" i="1"/>
  <c r="AG165" i="1" s="1"/>
  <c r="AE165" i="1"/>
  <c r="Y165" i="1"/>
  <c r="Z165" i="1" s="1"/>
  <c r="X165" i="1"/>
  <c r="S165" i="1"/>
  <c r="R165" i="1"/>
  <c r="Q165" i="1"/>
  <c r="L165" i="1"/>
  <c r="AF164" i="1"/>
  <c r="AG164" i="1" s="1"/>
  <c r="AE164" i="1"/>
  <c r="Z164" i="1"/>
  <c r="Y164" i="1"/>
  <c r="X164" i="1"/>
  <c r="S164" i="1"/>
  <c r="R164" i="1"/>
  <c r="Q164" i="1"/>
  <c r="L164" i="1"/>
  <c r="AF163" i="1"/>
  <c r="AE163" i="1"/>
  <c r="Z163" i="1"/>
  <c r="Y163" i="1"/>
  <c r="X163" i="1"/>
  <c r="R163" i="1"/>
  <c r="S163" i="1" s="1"/>
  <c r="Q163" i="1"/>
  <c r="L163" i="1"/>
  <c r="AG163" i="1" s="1"/>
  <c r="AG162" i="1"/>
  <c r="AF162" i="1"/>
  <c r="AE162" i="1"/>
  <c r="Y162" i="1"/>
  <c r="Z162" i="1" s="1"/>
  <c r="X162" i="1"/>
  <c r="R162" i="1"/>
  <c r="S162" i="1" s="1"/>
  <c r="Q162" i="1"/>
  <c r="L162" i="1"/>
  <c r="AG161" i="1"/>
  <c r="AF161" i="1"/>
  <c r="AE161" i="1"/>
  <c r="Y161" i="1"/>
  <c r="Z161" i="1" s="1"/>
  <c r="X161" i="1"/>
  <c r="R161" i="1"/>
  <c r="S161" i="1" s="1"/>
  <c r="Q161" i="1"/>
  <c r="L161" i="1"/>
  <c r="AF160" i="1"/>
  <c r="AG160" i="1" s="1"/>
  <c r="AE160" i="1"/>
  <c r="Y160" i="1"/>
  <c r="Z160" i="1" s="1"/>
  <c r="X160" i="1"/>
  <c r="R160" i="1"/>
  <c r="Q160" i="1"/>
  <c r="L160" i="1"/>
  <c r="S160" i="1" s="1"/>
  <c r="AF159" i="1"/>
  <c r="AG159" i="1" s="1"/>
  <c r="AE159" i="1"/>
  <c r="Y159" i="1"/>
  <c r="Z159" i="1" s="1"/>
  <c r="X159" i="1"/>
  <c r="S159" i="1"/>
  <c r="R159" i="1"/>
  <c r="Q159" i="1"/>
  <c r="L159" i="1"/>
  <c r="AF158" i="1"/>
  <c r="AG158" i="1" s="1"/>
  <c r="AE158" i="1"/>
  <c r="Z158" i="1"/>
  <c r="Y158" i="1"/>
  <c r="X158" i="1"/>
  <c r="S158" i="1"/>
  <c r="R158" i="1"/>
  <c r="Q158" i="1"/>
  <c r="L158" i="1"/>
  <c r="AF157" i="1"/>
  <c r="AE157" i="1"/>
  <c r="Z157" i="1"/>
  <c r="Y157" i="1"/>
  <c r="X157" i="1"/>
  <c r="R157" i="1"/>
  <c r="S157" i="1" s="1"/>
  <c r="Q157" i="1"/>
  <c r="L157" i="1"/>
  <c r="AG157" i="1" s="1"/>
  <c r="AG156" i="1"/>
  <c r="AF156" i="1"/>
  <c r="AE156" i="1"/>
  <c r="Y156" i="1"/>
  <c r="Z156" i="1" s="1"/>
  <c r="X156" i="1"/>
  <c r="R156" i="1"/>
  <c r="S156" i="1" s="1"/>
  <c r="Q156" i="1"/>
  <c r="L156" i="1"/>
  <c r="AG155" i="1"/>
  <c r="AF155" i="1"/>
  <c r="AE155" i="1"/>
  <c r="Y155" i="1"/>
  <c r="Z155" i="1" s="1"/>
  <c r="X155" i="1"/>
  <c r="R155" i="1"/>
  <c r="S155" i="1" s="1"/>
  <c r="Q155" i="1"/>
  <c r="L155" i="1"/>
  <c r="AF154" i="1"/>
  <c r="AG154" i="1" s="1"/>
  <c r="AE154" i="1"/>
  <c r="Y154" i="1"/>
  <c r="Z154" i="1" s="1"/>
  <c r="X154" i="1"/>
  <c r="R154" i="1"/>
  <c r="Q154" i="1"/>
  <c r="L154" i="1"/>
  <c r="S154" i="1" s="1"/>
  <c r="AF153" i="1"/>
  <c r="AG153" i="1" s="1"/>
  <c r="AE153" i="1"/>
  <c r="Y153" i="1"/>
  <c r="Z153" i="1" s="1"/>
  <c r="X153" i="1"/>
  <c r="S153" i="1"/>
  <c r="R153" i="1"/>
  <c r="Q153" i="1"/>
  <c r="L153" i="1"/>
  <c r="AF152" i="1"/>
  <c r="AG152" i="1" s="1"/>
  <c r="AE152" i="1"/>
  <c r="Z152" i="1"/>
  <c r="Y152" i="1"/>
  <c r="X152" i="1"/>
  <c r="S152" i="1"/>
  <c r="R152" i="1"/>
  <c r="Q152" i="1"/>
  <c r="L152" i="1"/>
  <c r="AF151" i="1"/>
  <c r="AE151" i="1"/>
  <c r="Z151" i="1"/>
  <c r="Y151" i="1"/>
  <c r="X151" i="1"/>
  <c r="R151" i="1"/>
  <c r="S151" i="1" s="1"/>
  <c r="Q151" i="1"/>
  <c r="L151" i="1"/>
  <c r="AG151" i="1" s="1"/>
  <c r="AG150" i="1"/>
  <c r="AF150" i="1"/>
  <c r="AE150" i="1"/>
  <c r="Y150" i="1"/>
  <c r="Z150" i="1" s="1"/>
  <c r="X150" i="1"/>
  <c r="R150" i="1"/>
  <c r="S150" i="1" s="1"/>
  <c r="Q150" i="1"/>
  <c r="L150" i="1"/>
  <c r="AG149" i="1"/>
  <c r="AF149" i="1"/>
  <c r="AE149" i="1"/>
  <c r="Y149" i="1"/>
  <c r="Z149" i="1" s="1"/>
  <c r="X149" i="1"/>
  <c r="R149" i="1"/>
  <c r="S149" i="1" s="1"/>
  <c r="Q149" i="1"/>
  <c r="L149" i="1"/>
  <c r="AF148" i="1"/>
  <c r="AG148" i="1" s="1"/>
  <c r="AE148" i="1"/>
  <c r="Y148" i="1"/>
  <c r="Z148" i="1" s="1"/>
  <c r="X148" i="1"/>
  <c r="R148" i="1"/>
  <c r="Q148" i="1"/>
  <c r="L148" i="1"/>
  <c r="S148" i="1" s="1"/>
  <c r="AF147" i="1"/>
  <c r="AG147" i="1" s="1"/>
  <c r="AE147" i="1"/>
  <c r="Y147" i="1"/>
  <c r="Z147" i="1" s="1"/>
  <c r="X147" i="1"/>
  <c r="S147" i="1"/>
  <c r="R147" i="1"/>
  <c r="Q147" i="1"/>
  <c r="L147" i="1"/>
  <c r="AF146" i="1"/>
  <c r="AG146" i="1" s="1"/>
  <c r="AE146" i="1"/>
  <c r="Z146" i="1"/>
  <c r="Y146" i="1"/>
  <c r="X146" i="1"/>
  <c r="S146" i="1"/>
  <c r="R146" i="1"/>
  <c r="Q146" i="1"/>
  <c r="L146" i="1"/>
  <c r="AF145" i="1"/>
  <c r="AE145" i="1"/>
  <c r="Z145" i="1"/>
  <c r="Y145" i="1"/>
  <c r="X145" i="1"/>
  <c r="R145" i="1"/>
  <c r="S145" i="1" s="1"/>
  <c r="Q145" i="1"/>
  <c r="L145" i="1"/>
  <c r="AG145" i="1" s="1"/>
  <c r="AG144" i="1"/>
  <c r="AF144" i="1"/>
  <c r="AE144" i="1"/>
  <c r="Y144" i="1"/>
  <c r="Z144" i="1" s="1"/>
  <c r="X144" i="1"/>
  <c r="R144" i="1"/>
  <c r="S144" i="1" s="1"/>
  <c r="Q144" i="1"/>
  <c r="L144" i="1"/>
  <c r="AG143" i="1"/>
  <c r="AF143" i="1"/>
  <c r="AE143" i="1"/>
  <c r="Y143" i="1"/>
  <c r="Z143" i="1" s="1"/>
  <c r="X143" i="1"/>
  <c r="R143" i="1"/>
  <c r="S143" i="1" s="1"/>
  <c r="Q143" i="1"/>
  <c r="L143" i="1"/>
  <c r="AF142" i="1"/>
  <c r="AG142" i="1" s="1"/>
  <c r="AE142" i="1"/>
  <c r="Y142" i="1"/>
  <c r="Z142" i="1" s="1"/>
  <c r="X142" i="1"/>
  <c r="R142" i="1"/>
  <c r="Q142" i="1"/>
  <c r="L142" i="1"/>
  <c r="S142" i="1" s="1"/>
  <c r="AF141" i="1"/>
  <c r="AG141" i="1" s="1"/>
  <c r="AE141" i="1"/>
  <c r="Y141" i="1"/>
  <c r="Z141" i="1" s="1"/>
  <c r="X141" i="1"/>
  <c r="S141" i="1"/>
  <c r="R141" i="1"/>
  <c r="Q141" i="1"/>
  <c r="L141" i="1"/>
  <c r="AF140" i="1"/>
  <c r="AG140" i="1" s="1"/>
  <c r="AE140" i="1"/>
  <c r="Z140" i="1"/>
  <c r="Y140" i="1"/>
  <c r="X140" i="1"/>
  <c r="S140" i="1"/>
  <c r="R140" i="1"/>
  <c r="Q140" i="1"/>
  <c r="L140" i="1"/>
  <c r="AF139" i="1"/>
  <c r="AE139" i="1"/>
  <c r="Z139" i="1"/>
  <c r="Y139" i="1"/>
  <c r="X139" i="1"/>
  <c r="R139" i="1"/>
  <c r="S139" i="1" s="1"/>
  <c r="Q139" i="1"/>
  <c r="L139" i="1"/>
  <c r="AG139" i="1" s="1"/>
  <c r="AG138" i="1"/>
  <c r="AF138" i="1"/>
  <c r="AE138" i="1"/>
  <c r="Y138" i="1"/>
  <c r="Z138" i="1" s="1"/>
  <c r="X138" i="1"/>
  <c r="R138" i="1"/>
  <c r="S138" i="1" s="1"/>
  <c r="Q138" i="1"/>
  <c r="L138" i="1"/>
  <c r="AG137" i="1"/>
  <c r="AF137" i="1"/>
  <c r="AE137" i="1"/>
  <c r="Y137" i="1"/>
  <c r="Z137" i="1" s="1"/>
  <c r="X137" i="1"/>
  <c r="R137" i="1"/>
  <c r="S137" i="1" s="1"/>
  <c r="Q137" i="1"/>
  <c r="L137" i="1"/>
  <c r="AF136" i="1"/>
  <c r="AG136" i="1" s="1"/>
  <c r="AE136" i="1"/>
  <c r="Y136" i="1"/>
  <c r="Z136" i="1" s="1"/>
  <c r="X136" i="1"/>
  <c r="R136" i="1"/>
  <c r="Q136" i="1"/>
  <c r="L136" i="1"/>
  <c r="S136" i="1" s="1"/>
  <c r="AF135" i="1"/>
  <c r="AG135" i="1" s="1"/>
  <c r="AE135" i="1"/>
  <c r="Y135" i="1"/>
  <c r="Z135" i="1" s="1"/>
  <c r="X135" i="1"/>
  <c r="S135" i="1"/>
  <c r="R135" i="1"/>
  <c r="Q135" i="1"/>
  <c r="L135" i="1"/>
  <c r="AF134" i="1"/>
  <c r="AG134" i="1" s="1"/>
  <c r="AE134" i="1"/>
  <c r="Z134" i="1"/>
  <c r="Y134" i="1"/>
  <c r="X134" i="1"/>
  <c r="S134" i="1"/>
  <c r="R134" i="1"/>
  <c r="Q134" i="1"/>
  <c r="L134" i="1"/>
  <c r="AF133" i="1"/>
  <c r="AE133" i="1"/>
  <c r="Z133" i="1"/>
  <c r="Y133" i="1"/>
  <c r="X133" i="1"/>
  <c r="R133" i="1"/>
  <c r="S133" i="1" s="1"/>
  <c r="Q133" i="1"/>
  <c r="L133" i="1"/>
  <c r="AG133" i="1" s="1"/>
  <c r="AG132" i="1"/>
  <c r="AF132" i="1"/>
  <c r="AE132" i="1"/>
  <c r="Y132" i="1"/>
  <c r="Z132" i="1" s="1"/>
  <c r="X132" i="1"/>
  <c r="R132" i="1"/>
  <c r="S132" i="1" s="1"/>
  <c r="Q132" i="1"/>
  <c r="L132" i="1"/>
  <c r="AG131" i="1"/>
  <c r="AF131" i="1"/>
  <c r="AE131" i="1"/>
  <c r="Y131" i="1"/>
  <c r="Z131" i="1" s="1"/>
  <c r="X131" i="1"/>
  <c r="R131" i="1"/>
  <c r="S131" i="1" s="1"/>
  <c r="Q131" i="1"/>
  <c r="L131" i="1"/>
  <c r="AF130" i="1"/>
  <c r="AG130" i="1" s="1"/>
  <c r="AE130" i="1"/>
  <c r="Y130" i="1"/>
  <c r="Z130" i="1" s="1"/>
  <c r="X130" i="1"/>
  <c r="R130" i="1"/>
  <c r="Q130" i="1"/>
  <c r="L130" i="1"/>
  <c r="S130" i="1" s="1"/>
  <c r="AF129" i="1"/>
  <c r="AG129" i="1" s="1"/>
  <c r="AE129" i="1"/>
  <c r="Y129" i="1"/>
  <c r="Z129" i="1" s="1"/>
  <c r="X129" i="1"/>
  <c r="S129" i="1"/>
  <c r="R129" i="1"/>
  <c r="Q129" i="1"/>
  <c r="L129" i="1"/>
  <c r="AF128" i="1"/>
  <c r="AG128" i="1" s="1"/>
  <c r="AE128" i="1"/>
  <c r="Z128" i="1"/>
  <c r="Y128" i="1"/>
  <c r="X128" i="1"/>
  <c r="S128" i="1"/>
  <c r="R128" i="1"/>
  <c r="Q128" i="1"/>
  <c r="L128" i="1"/>
  <c r="AF127" i="1"/>
  <c r="AG127" i="1" s="1"/>
  <c r="AE127" i="1"/>
  <c r="Z127" i="1"/>
  <c r="Y127" i="1"/>
  <c r="X127" i="1"/>
  <c r="R127" i="1"/>
  <c r="S127" i="1" s="1"/>
  <c r="Q127" i="1"/>
  <c r="L127" i="1"/>
  <c r="AG126" i="1"/>
  <c r="AF126" i="1"/>
  <c r="AE126" i="1"/>
  <c r="Z126" i="1"/>
  <c r="Y126" i="1"/>
  <c r="X126" i="1"/>
  <c r="R126" i="1"/>
  <c r="S126" i="1" s="1"/>
  <c r="Q126" i="1"/>
  <c r="L126" i="1"/>
  <c r="AG125" i="1"/>
  <c r="AF125" i="1"/>
  <c r="AE125" i="1"/>
  <c r="Y125" i="1"/>
  <c r="Z125" i="1" s="1"/>
  <c r="X125" i="1"/>
  <c r="R125" i="1"/>
  <c r="S125" i="1" s="1"/>
  <c r="Q125" i="1"/>
  <c r="L125" i="1"/>
  <c r="AF124" i="1"/>
  <c r="AG124" i="1" s="1"/>
  <c r="AE124" i="1"/>
  <c r="Y124" i="1"/>
  <c r="Z124" i="1" s="1"/>
  <c r="X124" i="1"/>
  <c r="R124" i="1"/>
  <c r="S124" i="1" s="1"/>
  <c r="Q124" i="1"/>
  <c r="L124" i="1"/>
  <c r="AF123" i="1"/>
  <c r="AG123" i="1" s="1"/>
  <c r="AE123" i="1"/>
  <c r="Y123" i="1"/>
  <c r="Z123" i="1" s="1"/>
  <c r="X123" i="1"/>
  <c r="S123" i="1"/>
  <c r="R123" i="1"/>
  <c r="Q123" i="1"/>
  <c r="L123" i="1"/>
  <c r="AF122" i="1"/>
  <c r="AG122" i="1" s="1"/>
  <c r="AE122" i="1"/>
  <c r="Z122" i="1"/>
  <c r="Y122" i="1"/>
  <c r="X122" i="1"/>
  <c r="S122" i="1"/>
  <c r="R122" i="1"/>
  <c r="Q122" i="1"/>
  <c r="L122" i="1"/>
  <c r="AF121" i="1"/>
  <c r="AG121" i="1" s="1"/>
  <c r="AE121" i="1"/>
  <c r="Z121" i="1"/>
  <c r="Y121" i="1"/>
  <c r="X121" i="1"/>
  <c r="R121" i="1"/>
  <c r="S121" i="1" s="1"/>
  <c r="Q121" i="1"/>
  <c r="L121" i="1"/>
  <c r="AG120" i="1"/>
  <c r="AF120" i="1"/>
  <c r="AE120" i="1"/>
  <c r="Z120" i="1"/>
  <c r="Y120" i="1"/>
  <c r="X120" i="1"/>
  <c r="R120" i="1"/>
  <c r="S120" i="1" s="1"/>
  <c r="Q120" i="1"/>
  <c r="L120" i="1"/>
  <c r="AG119" i="1"/>
  <c r="AF119" i="1"/>
  <c r="AE119" i="1"/>
  <c r="Y119" i="1"/>
  <c r="Z119" i="1" s="1"/>
  <c r="X119" i="1"/>
  <c r="R119" i="1"/>
  <c r="S119" i="1" s="1"/>
  <c r="Q119" i="1"/>
  <c r="L119" i="1"/>
  <c r="AF118" i="1"/>
  <c r="AG118" i="1" s="1"/>
  <c r="AE118" i="1"/>
  <c r="Y118" i="1"/>
  <c r="Z118" i="1" s="1"/>
  <c r="X118" i="1"/>
  <c r="R118" i="1"/>
  <c r="S118" i="1" s="1"/>
  <c r="Q118" i="1"/>
  <c r="L118" i="1"/>
  <c r="AF117" i="1"/>
  <c r="AG117" i="1" s="1"/>
  <c r="AE117" i="1"/>
  <c r="Y117" i="1"/>
  <c r="Z117" i="1" s="1"/>
  <c r="X117" i="1"/>
  <c r="S117" i="1"/>
  <c r="R117" i="1"/>
  <c r="Q117" i="1"/>
  <c r="L117" i="1"/>
  <c r="AF116" i="1"/>
  <c r="AG116" i="1" s="1"/>
  <c r="AE116" i="1"/>
  <c r="Z116" i="1"/>
  <c r="Y116" i="1"/>
  <c r="X116" i="1"/>
  <c r="S116" i="1"/>
  <c r="R116" i="1"/>
  <c r="Q116" i="1"/>
  <c r="L116" i="1"/>
  <c r="AF115" i="1"/>
  <c r="AG115" i="1" s="1"/>
  <c r="AE115" i="1"/>
  <c r="Z115" i="1"/>
  <c r="Y115" i="1"/>
  <c r="X115" i="1"/>
  <c r="R115" i="1"/>
  <c r="S115" i="1" s="1"/>
  <c r="Q115" i="1"/>
  <c r="L115" i="1"/>
  <c r="AG114" i="1"/>
  <c r="AF114" i="1"/>
  <c r="AE114" i="1"/>
  <c r="Z114" i="1"/>
  <c r="Y114" i="1"/>
  <c r="X114" i="1"/>
  <c r="R114" i="1"/>
  <c r="S114" i="1" s="1"/>
  <c r="Q114" i="1"/>
  <c r="L114" i="1"/>
  <c r="AG113" i="1"/>
  <c r="AF113" i="1"/>
  <c r="AE113" i="1"/>
  <c r="Y113" i="1"/>
  <c r="Z113" i="1" s="1"/>
  <c r="X113" i="1"/>
  <c r="R113" i="1"/>
  <c r="S113" i="1" s="1"/>
  <c r="Q113" i="1"/>
  <c r="L113" i="1"/>
  <c r="AF112" i="1"/>
  <c r="AG112" i="1" s="1"/>
  <c r="AE112" i="1"/>
  <c r="Y112" i="1"/>
  <c r="X112" i="1"/>
  <c r="R112" i="1"/>
  <c r="S112" i="1" s="1"/>
  <c r="Q112" i="1"/>
  <c r="L112" i="1"/>
  <c r="Z112" i="1" s="1"/>
  <c r="AF111" i="1"/>
  <c r="AG111" i="1" s="1"/>
  <c r="AE111" i="1"/>
  <c r="Y111" i="1"/>
  <c r="Z111" i="1" s="1"/>
  <c r="X111" i="1"/>
  <c r="R111" i="1"/>
  <c r="Q111" i="1"/>
  <c r="L111" i="1"/>
  <c r="S111" i="1" s="1"/>
  <c r="AF110" i="1"/>
  <c r="AG110" i="1" s="1"/>
  <c r="AE110" i="1"/>
  <c r="Z110" i="1"/>
  <c r="Y110" i="1"/>
  <c r="X110" i="1"/>
  <c r="S110" i="1"/>
  <c r="R110" i="1"/>
  <c r="Q110" i="1"/>
  <c r="L110" i="1"/>
  <c r="AF109" i="1"/>
  <c r="AG109" i="1" s="1"/>
  <c r="AE109" i="1"/>
  <c r="Z109" i="1"/>
  <c r="Y109" i="1"/>
  <c r="X109" i="1"/>
  <c r="R109" i="1"/>
  <c r="S109" i="1" s="1"/>
  <c r="Q109" i="1"/>
  <c r="L109" i="1"/>
  <c r="AG108" i="1"/>
  <c r="AF108" i="1"/>
  <c r="AE108" i="1"/>
  <c r="Z108" i="1"/>
  <c r="Y108" i="1"/>
  <c r="X108" i="1"/>
  <c r="R108" i="1"/>
  <c r="S108" i="1" s="1"/>
  <c r="Q108" i="1"/>
  <c r="L108" i="1"/>
  <c r="AG107" i="1"/>
  <c r="AF107" i="1"/>
  <c r="AE107" i="1"/>
  <c r="Y107" i="1"/>
  <c r="Z107" i="1" s="1"/>
  <c r="X107" i="1"/>
  <c r="R107" i="1"/>
  <c r="S107" i="1" s="1"/>
  <c r="Q107" i="1"/>
  <c r="L107" i="1"/>
  <c r="AF106" i="1"/>
  <c r="AG106" i="1" s="1"/>
  <c r="AE106" i="1"/>
  <c r="Y106" i="1"/>
  <c r="X106" i="1"/>
  <c r="R106" i="1"/>
  <c r="S106" i="1" s="1"/>
  <c r="Q106" i="1"/>
  <c r="L106" i="1"/>
  <c r="Z106" i="1" s="1"/>
  <c r="AF105" i="1"/>
  <c r="AG105" i="1" s="1"/>
  <c r="AE105" i="1"/>
  <c r="Y105" i="1"/>
  <c r="Z105" i="1" s="1"/>
  <c r="X105" i="1"/>
  <c r="S105" i="1"/>
  <c r="R105" i="1"/>
  <c r="Q105" i="1"/>
  <c r="L105" i="1"/>
  <c r="AF104" i="1"/>
  <c r="AG104" i="1" s="1"/>
  <c r="AE104" i="1"/>
  <c r="Z104" i="1"/>
  <c r="Y104" i="1"/>
  <c r="X104" i="1"/>
  <c r="S104" i="1"/>
  <c r="R104" i="1"/>
  <c r="Q104" i="1"/>
  <c r="L104" i="1"/>
  <c r="AF103" i="1"/>
  <c r="AG103" i="1" s="1"/>
  <c r="AE103" i="1"/>
  <c r="Z103" i="1"/>
  <c r="Y103" i="1"/>
  <c r="X103" i="1"/>
  <c r="R103" i="1"/>
  <c r="Q103" i="1"/>
  <c r="L103" i="1"/>
  <c r="S103" i="1" s="1"/>
  <c r="AG102" i="1"/>
  <c r="AF102" i="1"/>
  <c r="AE102" i="1"/>
  <c r="Z102" i="1"/>
  <c r="Y102" i="1"/>
  <c r="X102" i="1"/>
  <c r="R102" i="1"/>
  <c r="S102" i="1" s="1"/>
  <c r="Q102" i="1"/>
  <c r="L102" i="1"/>
  <c r="AG101" i="1"/>
  <c r="AF101" i="1"/>
  <c r="AE101" i="1"/>
  <c r="Y101" i="1"/>
  <c r="Z101" i="1" s="1"/>
  <c r="X101" i="1"/>
  <c r="R101" i="1"/>
  <c r="S101" i="1" s="1"/>
  <c r="Q101" i="1"/>
  <c r="L101" i="1"/>
  <c r="AF100" i="1"/>
  <c r="AE100" i="1"/>
  <c r="Y100" i="1"/>
  <c r="Z100" i="1" s="1"/>
  <c r="X100" i="1"/>
  <c r="R100" i="1"/>
  <c r="S100" i="1" s="1"/>
  <c r="Q100" i="1"/>
  <c r="L100" i="1"/>
  <c r="AG100" i="1" s="1"/>
  <c r="AF99" i="1"/>
  <c r="AG99" i="1" s="1"/>
  <c r="AE99" i="1"/>
  <c r="Y99" i="1"/>
  <c r="Z99" i="1" s="1"/>
  <c r="X99" i="1"/>
  <c r="S99" i="1"/>
  <c r="R99" i="1"/>
  <c r="Q99" i="1"/>
  <c r="L99" i="1"/>
  <c r="AF98" i="1"/>
  <c r="AG98" i="1" s="1"/>
  <c r="AE98" i="1"/>
  <c r="Z98" i="1"/>
  <c r="Y98" i="1"/>
  <c r="X98" i="1"/>
  <c r="S98" i="1"/>
  <c r="R98" i="1"/>
  <c r="Q98" i="1"/>
  <c r="L98" i="1"/>
  <c r="AF97" i="1"/>
  <c r="AG97" i="1" s="1"/>
  <c r="AE97" i="1"/>
  <c r="Z97" i="1"/>
  <c r="Y97" i="1"/>
  <c r="X97" i="1"/>
  <c r="R97" i="1"/>
  <c r="Q97" i="1"/>
  <c r="L97" i="1"/>
  <c r="S97" i="1" s="1"/>
  <c r="AG96" i="1"/>
  <c r="AF96" i="1"/>
  <c r="AE96" i="1"/>
  <c r="Z96" i="1"/>
  <c r="Y96" i="1"/>
  <c r="X96" i="1"/>
  <c r="R96" i="1"/>
  <c r="S96" i="1" s="1"/>
  <c r="Q96" i="1"/>
  <c r="L96" i="1"/>
  <c r="AG95" i="1"/>
  <c r="AF95" i="1"/>
  <c r="AE95" i="1"/>
  <c r="Y95" i="1"/>
  <c r="Z95" i="1" s="1"/>
  <c r="X95" i="1"/>
  <c r="R95" i="1"/>
  <c r="S95" i="1" s="1"/>
  <c r="Q95" i="1"/>
  <c r="L95" i="1"/>
  <c r="AF94" i="1"/>
  <c r="AE94" i="1"/>
  <c r="Y94" i="1"/>
  <c r="Z94" i="1" s="1"/>
  <c r="X94" i="1"/>
  <c r="R94" i="1"/>
  <c r="S94" i="1" s="1"/>
  <c r="Q94" i="1"/>
  <c r="L94" i="1"/>
  <c r="AG94" i="1" s="1"/>
  <c r="AF93" i="1"/>
  <c r="AG93" i="1" s="1"/>
  <c r="AE93" i="1"/>
  <c r="Y93" i="1"/>
  <c r="Z93" i="1" s="1"/>
  <c r="X93" i="1"/>
  <c r="S93" i="1"/>
  <c r="R93" i="1"/>
  <c r="Q93" i="1"/>
  <c r="L93" i="1"/>
  <c r="AF92" i="1"/>
  <c r="AG92" i="1" s="1"/>
  <c r="AE92" i="1"/>
  <c r="Z92" i="1"/>
  <c r="Y92" i="1"/>
  <c r="X92" i="1"/>
  <c r="S92" i="1"/>
  <c r="R92" i="1"/>
  <c r="Q92" i="1"/>
  <c r="L92" i="1"/>
  <c r="AF91" i="1"/>
  <c r="AG91" i="1" s="1"/>
  <c r="AE91" i="1"/>
  <c r="Z91" i="1"/>
  <c r="Y91" i="1"/>
  <c r="X91" i="1"/>
  <c r="R91" i="1"/>
  <c r="Q91" i="1"/>
  <c r="L91" i="1"/>
  <c r="S91" i="1" s="1"/>
  <c r="AG90" i="1"/>
  <c r="AF90" i="1"/>
  <c r="AE90" i="1"/>
  <c r="Y90" i="1"/>
  <c r="Z90" i="1" s="1"/>
  <c r="X90" i="1"/>
  <c r="R90" i="1"/>
  <c r="S90" i="1" s="1"/>
  <c r="Q90" i="1"/>
  <c r="L90" i="1"/>
  <c r="AG89" i="1"/>
  <c r="AF89" i="1"/>
  <c r="AE89" i="1"/>
  <c r="Y89" i="1"/>
  <c r="Z89" i="1" s="1"/>
  <c r="X89" i="1"/>
  <c r="S89" i="1"/>
  <c r="R89" i="1"/>
  <c r="Q89" i="1"/>
  <c r="L89" i="1"/>
  <c r="AF88" i="1"/>
  <c r="AE88" i="1"/>
  <c r="Y88" i="1"/>
  <c r="Z88" i="1" s="1"/>
  <c r="X88" i="1"/>
  <c r="R88" i="1"/>
  <c r="S88" i="1" s="1"/>
  <c r="Q88" i="1"/>
  <c r="L88" i="1"/>
  <c r="AG88" i="1" s="1"/>
  <c r="AF87" i="1"/>
  <c r="AG87" i="1" s="1"/>
  <c r="AE87" i="1"/>
  <c r="Y87" i="1"/>
  <c r="Z87" i="1" s="1"/>
  <c r="X87" i="1"/>
  <c r="S87" i="1"/>
  <c r="R87" i="1"/>
  <c r="Q87" i="1"/>
  <c r="L87" i="1"/>
  <c r="AG86" i="1"/>
  <c r="AF86" i="1"/>
  <c r="AE86" i="1"/>
  <c r="Z86" i="1"/>
  <c r="Y86" i="1"/>
  <c r="X86" i="1"/>
  <c r="S86" i="1"/>
  <c r="R86" i="1"/>
  <c r="Q86" i="1"/>
  <c r="L86" i="1"/>
  <c r="AF85" i="1"/>
  <c r="AG85" i="1" s="1"/>
  <c r="AE85" i="1"/>
  <c r="Z85" i="1"/>
  <c r="Y85" i="1"/>
  <c r="X85" i="1"/>
  <c r="R85" i="1"/>
  <c r="Q85" i="1"/>
  <c r="L85" i="1"/>
  <c r="S85" i="1" s="1"/>
  <c r="AG84" i="1"/>
  <c r="AF84" i="1"/>
  <c r="AE84" i="1"/>
  <c r="Y84" i="1"/>
  <c r="Z84" i="1" s="1"/>
  <c r="X84" i="1"/>
  <c r="R84" i="1"/>
  <c r="S84" i="1" s="1"/>
  <c r="Q84" i="1"/>
  <c r="L84" i="1"/>
  <c r="AG83" i="1"/>
  <c r="AF83" i="1"/>
  <c r="AE83" i="1"/>
  <c r="Y83" i="1"/>
  <c r="Z83" i="1" s="1"/>
  <c r="X83" i="1"/>
  <c r="S83" i="1"/>
  <c r="R83" i="1"/>
  <c r="Q83" i="1"/>
  <c r="L83" i="1"/>
  <c r="AF82" i="1"/>
  <c r="AE82" i="1"/>
  <c r="Y82" i="1"/>
  <c r="Z82" i="1" s="1"/>
  <c r="X82" i="1"/>
  <c r="R82" i="1"/>
  <c r="S82" i="1" s="1"/>
  <c r="Q82" i="1"/>
  <c r="L82" i="1"/>
  <c r="AG82" i="1" s="1"/>
  <c r="AF81" i="1"/>
  <c r="AG81" i="1" s="1"/>
  <c r="AE81" i="1"/>
  <c r="Y81" i="1"/>
  <c r="Z81" i="1" s="1"/>
  <c r="X81" i="1"/>
  <c r="S81" i="1"/>
  <c r="R81" i="1"/>
  <c r="Q81" i="1"/>
  <c r="L81" i="1"/>
  <c r="AG80" i="1"/>
  <c r="AF80" i="1"/>
  <c r="AE80" i="1"/>
  <c r="Z80" i="1"/>
  <c r="Y80" i="1"/>
  <c r="X80" i="1"/>
  <c r="S80" i="1"/>
  <c r="R80" i="1"/>
  <c r="Q80" i="1"/>
  <c r="L80" i="1"/>
  <c r="AF79" i="1"/>
  <c r="AG79" i="1" s="1"/>
  <c r="AE79" i="1"/>
  <c r="Z79" i="1"/>
  <c r="Y79" i="1"/>
  <c r="X79" i="1"/>
  <c r="R79" i="1"/>
  <c r="Q79" i="1"/>
  <c r="L79" i="1"/>
  <c r="S79" i="1" s="1"/>
  <c r="AG78" i="1"/>
  <c r="AF78" i="1"/>
  <c r="AE78" i="1"/>
  <c r="Y78" i="1"/>
  <c r="Z78" i="1" s="1"/>
  <c r="X78" i="1"/>
  <c r="R78" i="1"/>
  <c r="S78" i="1" s="1"/>
  <c r="Q78" i="1"/>
  <c r="L78" i="1"/>
  <c r="AG77" i="1"/>
  <c r="AF77" i="1"/>
  <c r="AE77" i="1"/>
  <c r="Y77" i="1"/>
  <c r="Z77" i="1" s="1"/>
  <c r="X77" i="1"/>
  <c r="S77" i="1"/>
  <c r="R77" i="1"/>
  <c r="Q77" i="1"/>
  <c r="L77" i="1"/>
  <c r="AF76" i="1"/>
  <c r="AG76" i="1" s="1"/>
  <c r="AE76" i="1"/>
  <c r="Y76" i="1"/>
  <c r="Z76" i="1" s="1"/>
  <c r="X76" i="1"/>
  <c r="R76" i="1"/>
  <c r="S76" i="1" s="1"/>
  <c r="Q76" i="1"/>
  <c r="L76" i="1"/>
  <c r="AF75" i="1"/>
  <c r="AG75" i="1" s="1"/>
  <c r="AE75" i="1"/>
  <c r="Y75" i="1"/>
  <c r="Z75" i="1" s="1"/>
  <c r="X75" i="1"/>
  <c r="S75" i="1"/>
  <c r="R75" i="1"/>
  <c r="Q75" i="1"/>
  <c r="L75" i="1"/>
  <c r="AG74" i="1"/>
  <c r="AF74" i="1"/>
  <c r="AE74" i="1"/>
  <c r="Z74" i="1"/>
  <c r="Y74" i="1"/>
  <c r="X74" i="1"/>
  <c r="S74" i="1"/>
  <c r="R74" i="1"/>
  <c r="Q74" i="1"/>
  <c r="L74" i="1"/>
  <c r="AF73" i="1"/>
  <c r="AG73" i="1" s="1"/>
  <c r="AE73" i="1"/>
  <c r="Z73" i="1"/>
  <c r="Y73" i="1"/>
  <c r="X73" i="1"/>
  <c r="R73" i="1"/>
  <c r="S73" i="1" s="1"/>
  <c r="Q73" i="1"/>
  <c r="L73" i="1"/>
  <c r="AG72" i="1"/>
  <c r="AF72" i="1"/>
  <c r="AE72" i="1"/>
  <c r="Y72" i="1"/>
  <c r="Z72" i="1" s="1"/>
  <c r="X72" i="1"/>
  <c r="R72" i="1"/>
  <c r="S72" i="1" s="1"/>
  <c r="Q72" i="1"/>
  <c r="L72" i="1"/>
  <c r="AG71" i="1"/>
  <c r="AF71" i="1"/>
  <c r="AE71" i="1"/>
  <c r="Y71" i="1"/>
  <c r="Z71" i="1" s="1"/>
  <c r="X71" i="1"/>
  <c r="S71" i="1"/>
  <c r="R71" i="1"/>
  <c r="Q71" i="1"/>
  <c r="L71" i="1"/>
  <c r="AF70" i="1"/>
  <c r="AG70" i="1" s="1"/>
  <c r="AE70" i="1"/>
  <c r="Y70" i="1"/>
  <c r="Z70" i="1" s="1"/>
  <c r="X70" i="1"/>
  <c r="R70" i="1"/>
  <c r="S70" i="1" s="1"/>
  <c r="Q70" i="1"/>
  <c r="L70" i="1"/>
  <c r="AF69" i="1"/>
  <c r="AG69" i="1" s="1"/>
  <c r="AE69" i="1"/>
  <c r="Y69" i="1"/>
  <c r="Z69" i="1" s="1"/>
  <c r="X69" i="1"/>
  <c r="S69" i="1"/>
  <c r="R69" i="1"/>
  <c r="Q69" i="1"/>
  <c r="L69" i="1"/>
  <c r="AG68" i="1"/>
  <c r="AF68" i="1"/>
  <c r="AE68" i="1"/>
  <c r="Z68" i="1"/>
  <c r="Y68" i="1"/>
  <c r="X68" i="1"/>
  <c r="S68" i="1"/>
  <c r="R68" i="1"/>
  <c r="Q68" i="1"/>
  <c r="L68" i="1"/>
  <c r="AF67" i="1"/>
  <c r="AG67" i="1" s="1"/>
  <c r="AE67" i="1"/>
  <c r="Z67" i="1"/>
  <c r="Y67" i="1"/>
  <c r="X67" i="1"/>
  <c r="R67" i="1"/>
  <c r="S67" i="1" s="1"/>
  <c r="Q67" i="1"/>
  <c r="L67" i="1"/>
  <c r="AF66" i="1"/>
  <c r="AG66" i="1" s="1"/>
  <c r="AE66" i="1"/>
  <c r="Y66" i="1"/>
  <c r="Z66" i="1" s="1"/>
  <c r="X66" i="1"/>
  <c r="R66" i="1"/>
  <c r="S66" i="1" s="1"/>
  <c r="Q66" i="1"/>
  <c r="L66" i="1"/>
  <c r="AG65" i="1"/>
  <c r="AF65" i="1"/>
  <c r="AE65" i="1"/>
  <c r="Z65" i="1"/>
  <c r="Y65" i="1"/>
  <c r="X65" i="1"/>
  <c r="S65" i="1"/>
  <c r="R65" i="1"/>
  <c r="Q65" i="1"/>
  <c r="L65" i="1"/>
  <c r="AF64" i="1"/>
  <c r="AG64" i="1" s="1"/>
  <c r="AE64" i="1"/>
  <c r="Y64" i="1"/>
  <c r="Z64" i="1" s="1"/>
  <c r="X64" i="1"/>
  <c r="R64" i="1"/>
  <c r="S64" i="1" s="1"/>
  <c r="Q64" i="1"/>
  <c r="L64" i="1"/>
  <c r="AF63" i="1"/>
  <c r="AG63" i="1" s="1"/>
  <c r="AE63" i="1"/>
  <c r="Y63" i="1"/>
  <c r="Z63" i="1" s="1"/>
  <c r="X63" i="1"/>
  <c r="R63" i="1"/>
  <c r="S63" i="1" s="1"/>
  <c r="Q63" i="1"/>
  <c r="L63" i="1"/>
  <c r="AG62" i="1"/>
  <c r="AF62" i="1"/>
  <c r="AE62" i="1"/>
  <c r="Y62" i="1"/>
  <c r="X62" i="1"/>
  <c r="S62" i="1"/>
  <c r="R62" i="1"/>
  <c r="Q62" i="1"/>
  <c r="L62" i="1"/>
  <c r="Z62" i="1" s="1"/>
  <c r="AF61" i="1"/>
  <c r="AG61" i="1" s="1"/>
  <c r="AE61" i="1"/>
  <c r="Z61" i="1"/>
  <c r="Y61" i="1"/>
  <c r="X61" i="1"/>
  <c r="R61" i="1"/>
  <c r="S61" i="1" s="1"/>
  <c r="Q61" i="1"/>
  <c r="L61" i="1"/>
  <c r="AF60" i="1"/>
  <c r="AG60" i="1" s="1"/>
  <c r="AE60" i="1"/>
  <c r="Y60" i="1"/>
  <c r="Z60" i="1" s="1"/>
  <c r="X60" i="1"/>
  <c r="R60" i="1"/>
  <c r="S60" i="1" s="1"/>
  <c r="Q60" i="1"/>
  <c r="L60" i="1"/>
  <c r="AG59" i="1"/>
  <c r="AF59" i="1"/>
  <c r="AE59" i="1"/>
  <c r="Z59" i="1"/>
  <c r="Y59" i="1"/>
  <c r="X59" i="1"/>
  <c r="S59" i="1"/>
  <c r="R59" i="1"/>
  <c r="Q59" i="1"/>
  <c r="L59" i="1"/>
  <c r="AF58" i="1"/>
  <c r="AG58" i="1" s="1"/>
  <c r="AE58" i="1"/>
  <c r="Y58" i="1"/>
  <c r="Z58" i="1" s="1"/>
  <c r="X58" i="1"/>
  <c r="R58" i="1"/>
  <c r="S58" i="1" s="1"/>
  <c r="Q58" i="1"/>
  <c r="L58" i="1"/>
  <c r="AF57" i="1"/>
  <c r="AG57" i="1" s="1"/>
  <c r="AE57" i="1"/>
  <c r="Y57" i="1"/>
  <c r="Z57" i="1" s="1"/>
  <c r="X57" i="1"/>
  <c r="R57" i="1"/>
  <c r="S57" i="1" s="1"/>
  <c r="Q57" i="1"/>
  <c r="L57" i="1"/>
  <c r="AG56" i="1"/>
  <c r="AF56" i="1"/>
  <c r="AE56" i="1"/>
  <c r="Y56" i="1"/>
  <c r="X56" i="1"/>
  <c r="S56" i="1"/>
  <c r="R56" i="1"/>
  <c r="Q56" i="1"/>
  <c r="L56" i="1"/>
  <c r="Z56" i="1" s="1"/>
  <c r="AF55" i="1"/>
  <c r="AG55" i="1" s="1"/>
  <c r="AE55" i="1"/>
  <c r="Z55" i="1"/>
  <c r="Y55" i="1"/>
  <c r="X55" i="1"/>
  <c r="R55" i="1"/>
  <c r="S55" i="1" s="1"/>
  <c r="Q55" i="1"/>
  <c r="L55" i="1"/>
  <c r="AF54" i="1"/>
  <c r="AG54" i="1" s="1"/>
  <c r="AE54" i="1"/>
  <c r="Y54" i="1"/>
  <c r="Z54" i="1" s="1"/>
  <c r="X54" i="1"/>
  <c r="R54" i="1"/>
  <c r="S54" i="1" s="1"/>
  <c r="Q54" i="1"/>
  <c r="L54" i="1"/>
  <c r="AG53" i="1"/>
  <c r="AF53" i="1"/>
  <c r="AE53" i="1"/>
  <c r="Z53" i="1"/>
  <c r="Y53" i="1"/>
  <c r="X53" i="1"/>
  <c r="S53" i="1"/>
  <c r="R53" i="1"/>
  <c r="Q53" i="1"/>
  <c r="L53" i="1"/>
  <c r="AF52" i="1"/>
  <c r="AG52" i="1" s="1"/>
  <c r="AE52" i="1"/>
  <c r="Y52" i="1"/>
  <c r="Z52" i="1" s="1"/>
  <c r="X52" i="1"/>
  <c r="R52" i="1"/>
  <c r="S52" i="1" s="1"/>
  <c r="Q52" i="1"/>
  <c r="L52" i="1"/>
  <c r="AF51" i="1"/>
  <c r="AG51" i="1" s="1"/>
  <c r="AE51" i="1"/>
  <c r="Y51" i="1"/>
  <c r="Z51" i="1" s="1"/>
  <c r="X51" i="1"/>
  <c r="R51" i="1"/>
  <c r="S51" i="1" s="1"/>
  <c r="Q51" i="1"/>
  <c r="L51" i="1"/>
  <c r="AG50" i="1"/>
  <c r="AF50" i="1"/>
  <c r="AE50" i="1"/>
  <c r="Y50" i="1"/>
  <c r="X50" i="1"/>
  <c r="S50" i="1"/>
  <c r="R50" i="1"/>
  <c r="Q50" i="1"/>
  <c r="L50" i="1"/>
  <c r="Z50" i="1" s="1"/>
  <c r="AF49" i="1"/>
  <c r="AG49" i="1" s="1"/>
  <c r="AE49" i="1"/>
  <c r="Z49" i="1"/>
  <c r="Y49" i="1"/>
  <c r="X49" i="1"/>
  <c r="R49" i="1"/>
  <c r="S49" i="1" s="1"/>
  <c r="Q49" i="1"/>
  <c r="L49" i="1"/>
  <c r="AF48" i="1"/>
  <c r="AG48" i="1" s="1"/>
  <c r="AE48" i="1"/>
  <c r="Y48" i="1"/>
  <c r="Z48" i="1" s="1"/>
  <c r="X48" i="1"/>
  <c r="R48" i="1"/>
  <c r="S48" i="1" s="1"/>
  <c r="Q48" i="1"/>
  <c r="L48" i="1"/>
  <c r="AG47" i="1"/>
  <c r="AF47" i="1"/>
  <c r="AE47" i="1"/>
  <c r="Z47" i="1"/>
  <c r="Y47" i="1"/>
  <c r="X47" i="1"/>
  <c r="S47" i="1"/>
  <c r="R47" i="1"/>
  <c r="Q47" i="1"/>
  <c r="L47" i="1"/>
  <c r="AF46" i="1"/>
  <c r="AG46" i="1" s="1"/>
  <c r="AE46" i="1"/>
  <c r="Y46" i="1"/>
  <c r="Z46" i="1" s="1"/>
  <c r="X46" i="1"/>
  <c r="R46" i="1"/>
  <c r="S46" i="1" s="1"/>
  <c r="Q46" i="1"/>
  <c r="L46" i="1"/>
  <c r="AF45" i="1"/>
  <c r="AG45" i="1" s="1"/>
  <c r="AE45" i="1"/>
  <c r="Y45" i="1"/>
  <c r="Z45" i="1" s="1"/>
  <c r="X45" i="1"/>
  <c r="R45" i="1"/>
  <c r="S45" i="1" s="1"/>
  <c r="Q45" i="1"/>
  <c r="L45" i="1"/>
  <c r="AG44" i="1"/>
  <c r="AF44" i="1"/>
  <c r="AE44" i="1"/>
  <c r="Y44" i="1"/>
  <c r="X44" i="1"/>
  <c r="S44" i="1"/>
  <c r="R44" i="1"/>
  <c r="Q44" i="1"/>
  <c r="L44" i="1"/>
  <c r="Z44" i="1" s="1"/>
  <c r="AF43" i="1"/>
  <c r="AG43" i="1" s="1"/>
  <c r="AE43" i="1"/>
  <c r="Z43" i="1"/>
  <c r="Y43" i="1"/>
  <c r="X43" i="1"/>
  <c r="R43" i="1"/>
  <c r="S43" i="1" s="1"/>
  <c r="Q43" i="1"/>
  <c r="L43" i="1"/>
  <c r="AF42" i="1"/>
  <c r="AG42" i="1" s="1"/>
  <c r="AE42" i="1"/>
  <c r="Y42" i="1"/>
  <c r="Z42" i="1" s="1"/>
  <c r="X42" i="1"/>
  <c r="R42" i="1"/>
  <c r="S42" i="1" s="1"/>
  <c r="Q42" i="1"/>
  <c r="L42" i="1"/>
  <c r="AG41" i="1"/>
  <c r="AF41" i="1"/>
  <c r="AE41" i="1"/>
  <c r="Z41" i="1"/>
  <c r="Y41" i="1"/>
  <c r="X41" i="1"/>
  <c r="S41" i="1"/>
  <c r="R41" i="1"/>
  <c r="Q41" i="1"/>
  <c r="L41" i="1"/>
  <c r="AF40" i="1"/>
  <c r="AG40" i="1" s="1"/>
  <c r="AE40" i="1"/>
  <c r="Y40" i="1"/>
  <c r="Z40" i="1" s="1"/>
  <c r="X40" i="1"/>
  <c r="R40" i="1"/>
  <c r="S40" i="1" s="1"/>
  <c r="Q40" i="1"/>
  <c r="L40" i="1"/>
  <c r="AF39" i="1"/>
  <c r="AG39" i="1" s="1"/>
  <c r="AE39" i="1"/>
  <c r="Y39" i="1"/>
  <c r="Z39" i="1" s="1"/>
  <c r="X39" i="1"/>
  <c r="R39" i="1"/>
  <c r="S39" i="1" s="1"/>
  <c r="Q39" i="1"/>
  <c r="L39" i="1"/>
  <c r="AG38" i="1"/>
  <c r="AF38" i="1"/>
  <c r="AE38" i="1"/>
  <c r="Y38" i="1"/>
  <c r="X38" i="1"/>
  <c r="S38" i="1"/>
  <c r="R38" i="1"/>
  <c r="Q38" i="1"/>
  <c r="L38" i="1"/>
  <c r="Z38" i="1" s="1"/>
  <c r="AF37" i="1"/>
  <c r="AG37" i="1" s="1"/>
  <c r="AE37" i="1"/>
  <c r="Z37" i="1"/>
  <c r="Y37" i="1"/>
  <c r="X37" i="1"/>
  <c r="R37" i="1"/>
  <c r="S37" i="1" s="1"/>
  <c r="Q37" i="1"/>
  <c r="L37" i="1"/>
  <c r="AF36" i="1"/>
  <c r="AG36" i="1" s="1"/>
  <c r="AE36" i="1"/>
  <c r="Y36" i="1"/>
  <c r="Z36" i="1" s="1"/>
  <c r="X36" i="1"/>
  <c r="R36" i="1"/>
  <c r="S36" i="1" s="1"/>
  <c r="Q36" i="1"/>
  <c r="L36" i="1"/>
  <c r="AG35" i="1"/>
  <c r="AF35" i="1"/>
  <c r="AE35" i="1"/>
  <c r="Z35" i="1"/>
  <c r="Y35" i="1"/>
  <c r="X35" i="1"/>
  <c r="S35" i="1"/>
  <c r="R35" i="1"/>
  <c r="Q35" i="1"/>
  <c r="L35" i="1"/>
  <c r="AF34" i="1"/>
  <c r="AG34" i="1" s="1"/>
  <c r="AE34" i="1"/>
  <c r="Y34" i="1"/>
  <c r="Z34" i="1" s="1"/>
  <c r="X34" i="1"/>
  <c r="R34" i="1"/>
  <c r="S34" i="1" s="1"/>
  <c r="Q34" i="1"/>
  <c r="L34" i="1"/>
  <c r="AF33" i="1"/>
  <c r="AG33" i="1" s="1"/>
  <c r="AE33" i="1"/>
  <c r="Y33" i="1"/>
  <c r="Z33" i="1" s="1"/>
  <c r="X33" i="1"/>
  <c r="R33" i="1"/>
  <c r="S33" i="1" s="1"/>
  <c r="Q33" i="1"/>
  <c r="L33" i="1"/>
  <c r="AG32" i="1"/>
  <c r="AF32" i="1"/>
  <c r="AE32" i="1"/>
  <c r="Y32" i="1"/>
  <c r="X32" i="1"/>
  <c r="S32" i="1"/>
  <c r="R32" i="1"/>
  <c r="Q32" i="1"/>
  <c r="L32" i="1"/>
  <c r="Z32" i="1" s="1"/>
  <c r="AF31" i="1"/>
  <c r="AG31" i="1" s="1"/>
  <c r="AE31" i="1"/>
  <c r="Z31" i="1"/>
  <c r="Y31" i="1"/>
  <c r="X31" i="1"/>
  <c r="R31" i="1"/>
  <c r="S31" i="1" s="1"/>
  <c r="Q31" i="1"/>
  <c r="L31" i="1"/>
  <c r="AF30" i="1"/>
  <c r="AG30" i="1" s="1"/>
  <c r="AE30" i="1"/>
  <c r="Y30" i="1"/>
  <c r="Z30" i="1" s="1"/>
  <c r="X30" i="1"/>
  <c r="R30" i="1"/>
  <c r="S30" i="1" s="1"/>
  <c r="Q30" i="1"/>
  <c r="L30" i="1"/>
  <c r="AG29" i="1"/>
  <c r="AF29" i="1"/>
  <c r="AE29" i="1"/>
  <c r="Z29" i="1"/>
  <c r="Y29" i="1"/>
  <c r="X29" i="1"/>
  <c r="S29" i="1"/>
  <c r="R29" i="1"/>
  <c r="Q29" i="1"/>
  <c r="L29" i="1"/>
  <c r="AF28" i="1"/>
  <c r="AG28" i="1" s="1"/>
  <c r="AE28" i="1"/>
  <c r="Y28" i="1"/>
  <c r="Z28" i="1" s="1"/>
  <c r="X28" i="1"/>
  <c r="R28" i="1"/>
  <c r="S28" i="1" s="1"/>
  <c r="Q28" i="1"/>
  <c r="L28" i="1"/>
  <c r="AF27" i="1"/>
  <c r="AG27" i="1" s="1"/>
  <c r="AE27" i="1"/>
  <c r="Y27" i="1"/>
  <c r="Z27" i="1" s="1"/>
  <c r="X27" i="1"/>
  <c r="R27" i="1"/>
  <c r="S27" i="1" s="1"/>
  <c r="Q27" i="1"/>
  <c r="L27" i="1"/>
  <c r="DY26" i="1"/>
  <c r="DW26" i="1"/>
  <c r="CQ26" i="1"/>
  <c r="CL26" i="1"/>
  <c r="CG26" i="1"/>
  <c r="CB26" i="1"/>
  <c r="BW26" i="1"/>
  <c r="BR26" i="1"/>
  <c r="BM26" i="1"/>
  <c r="BH26" i="1"/>
  <c r="BC26" i="1"/>
  <c r="AX26" i="1"/>
  <c r="AS26" i="1"/>
  <c r="AN26" i="1"/>
  <c r="AF26" i="1"/>
  <c r="AG26" i="1" s="1"/>
  <c r="AE26" i="1"/>
  <c r="Y26" i="1"/>
  <c r="Z26" i="1" s="1"/>
  <c r="X26" i="1"/>
  <c r="R26" i="1"/>
  <c r="S26" i="1" s="1"/>
  <c r="Q26" i="1"/>
  <c r="L26" i="1"/>
  <c r="DY25" i="1"/>
  <c r="DW25" i="1"/>
  <c r="CQ25" i="1"/>
  <c r="CL25" i="1"/>
  <c r="CG25" i="1"/>
  <c r="CB25" i="1"/>
  <c r="BW25" i="1"/>
  <c r="BR25" i="1"/>
  <c r="BM25" i="1"/>
  <c r="BH25" i="1"/>
  <c r="BC25" i="1"/>
  <c r="AX25" i="1"/>
  <c r="AS25" i="1"/>
  <c r="AN25" i="1"/>
  <c r="AF25" i="1"/>
  <c r="AG25" i="1" s="1"/>
  <c r="AE25" i="1"/>
  <c r="Y25" i="1"/>
  <c r="Z25" i="1" s="1"/>
  <c r="X25" i="1"/>
  <c r="R25" i="1"/>
  <c r="S25" i="1" s="1"/>
  <c r="Q25" i="1"/>
  <c r="L25" i="1"/>
  <c r="EI24" i="1"/>
  <c r="EG24" i="1"/>
  <c r="ED24" i="1"/>
  <c r="EB24" i="1"/>
  <c r="DY24" i="1"/>
  <c r="DW24" i="1"/>
  <c r="CQ24" i="1"/>
  <c r="CL24" i="1"/>
  <c r="CG24" i="1"/>
  <c r="CB24" i="1"/>
  <c r="BW24" i="1"/>
  <c r="BR24" i="1"/>
  <c r="BM24" i="1"/>
  <c r="BH24" i="1"/>
  <c r="BC24" i="1"/>
  <c r="AX24" i="1"/>
  <c r="AS24" i="1"/>
  <c r="AN24" i="1"/>
  <c r="AF24" i="1"/>
  <c r="AE24" i="1"/>
  <c r="Y24" i="1"/>
  <c r="X24" i="1"/>
  <c r="R24" i="1"/>
  <c r="Q24" i="1"/>
  <c r="L24" i="1"/>
  <c r="S24" i="1" s="1"/>
  <c r="EI23" i="1"/>
  <c r="EG23" i="1"/>
  <c r="ED23" i="1"/>
  <c r="EB23" i="1"/>
  <c r="DY23" i="1"/>
  <c r="DW23" i="1"/>
  <c r="CQ23" i="1"/>
  <c r="CL23" i="1"/>
  <c r="CG23" i="1"/>
  <c r="CB23" i="1"/>
  <c r="BW23" i="1"/>
  <c r="BR23" i="1"/>
  <c r="BM23" i="1"/>
  <c r="BH23" i="1"/>
  <c r="BC23" i="1"/>
  <c r="AX23" i="1"/>
  <c r="AS23" i="1"/>
  <c r="AN23" i="1"/>
  <c r="AF23" i="1"/>
  <c r="AG23" i="1" s="1"/>
  <c r="AE23" i="1"/>
  <c r="Z23" i="1"/>
  <c r="Y23" i="1"/>
  <c r="X23" i="1"/>
  <c r="R23" i="1"/>
  <c r="S23" i="1" s="1"/>
  <c r="Q23" i="1"/>
  <c r="L23" i="1"/>
  <c r="AF22" i="1"/>
  <c r="AG22" i="1" s="1"/>
  <c r="AE22" i="1"/>
  <c r="Y22" i="1"/>
  <c r="Z22" i="1" s="1"/>
  <c r="X22" i="1"/>
  <c r="R22" i="1"/>
  <c r="S22" i="1" s="1"/>
  <c r="Q22" i="1"/>
  <c r="L22" i="1"/>
  <c r="AF21" i="1"/>
  <c r="AE21" i="1"/>
  <c r="Y21" i="1"/>
  <c r="X21" i="1"/>
  <c r="R21" i="1"/>
  <c r="Q21" i="1"/>
  <c r="L21" i="1"/>
  <c r="S21" i="1" s="1"/>
  <c r="DY20" i="1"/>
  <c r="DW20" i="1"/>
  <c r="CQ20" i="1"/>
  <c r="CL20" i="1"/>
  <c r="CG20" i="1"/>
  <c r="CB20" i="1"/>
  <c r="BW20" i="1"/>
  <c r="BR20" i="1"/>
  <c r="BM20" i="1"/>
  <c r="BH20" i="1"/>
  <c r="BC20" i="1"/>
  <c r="AX20" i="1"/>
  <c r="AS20" i="1"/>
  <c r="AN20" i="1"/>
  <c r="AF20" i="1"/>
  <c r="AE20" i="1"/>
  <c r="Y20" i="1"/>
  <c r="X20" i="1"/>
  <c r="R20" i="1"/>
  <c r="Q20" i="1"/>
  <c r="L20" i="1"/>
  <c r="S20" i="1" s="1"/>
  <c r="DY19" i="1"/>
  <c r="DW19" i="1"/>
  <c r="CQ19" i="1"/>
  <c r="CL19" i="1"/>
  <c r="CG19" i="1"/>
  <c r="CB19" i="1"/>
  <c r="BW19" i="1"/>
  <c r="BR19" i="1"/>
  <c r="BM19" i="1"/>
  <c r="BH19" i="1"/>
  <c r="BC19" i="1"/>
  <c r="AX19" i="1"/>
  <c r="AS19" i="1"/>
  <c r="AN19" i="1"/>
  <c r="AF19" i="1"/>
  <c r="AE19" i="1"/>
  <c r="Y19" i="1"/>
  <c r="X19" i="1"/>
  <c r="R19" i="1"/>
  <c r="Q19" i="1"/>
  <c r="L19" i="1"/>
  <c r="S19" i="1" s="1"/>
  <c r="ED18" i="1"/>
  <c r="EB18" i="1"/>
  <c r="EI18" i="1" s="1"/>
  <c r="DY18" i="1"/>
  <c r="DW18" i="1"/>
  <c r="CQ18" i="1"/>
  <c r="CL18" i="1"/>
  <c r="CG18" i="1"/>
  <c r="CB18" i="1"/>
  <c r="BW18" i="1"/>
  <c r="BR18" i="1"/>
  <c r="BM18" i="1"/>
  <c r="BH18" i="1"/>
  <c r="BC18" i="1"/>
  <c r="AX18" i="1"/>
  <c r="AS18" i="1"/>
  <c r="AN18" i="1"/>
  <c r="AF18" i="1"/>
  <c r="AG18" i="1" s="1"/>
  <c r="AE18" i="1"/>
  <c r="Z18" i="1"/>
  <c r="Y18" i="1"/>
  <c r="X18" i="1"/>
  <c r="R18" i="1"/>
  <c r="S18" i="1" s="1"/>
  <c r="Q18" i="1"/>
  <c r="L18" i="1"/>
  <c r="EI17" i="1"/>
  <c r="EG17" i="1"/>
  <c r="ED17" i="1"/>
  <c r="EB17" i="1"/>
  <c r="EG18" i="1" s="1"/>
  <c r="DY17" i="1"/>
  <c r="DW17" i="1"/>
  <c r="CQ17" i="1"/>
  <c r="CL17" i="1"/>
  <c r="CG17" i="1"/>
  <c r="CB17" i="1"/>
  <c r="BW17" i="1"/>
  <c r="BR17" i="1"/>
  <c r="BM17" i="1"/>
  <c r="BH17" i="1"/>
  <c r="BC17" i="1"/>
  <c r="AX17" i="1"/>
  <c r="AS17" i="1"/>
  <c r="AN17" i="1"/>
  <c r="AF17" i="1"/>
  <c r="AG17" i="1" s="1"/>
  <c r="AE17" i="1"/>
  <c r="Y17" i="1"/>
  <c r="Z17" i="1" s="1"/>
  <c r="X17" i="1"/>
  <c r="R17" i="1"/>
  <c r="S17" i="1" s="1"/>
  <c r="Q17" i="1"/>
  <c r="L17" i="1"/>
  <c r="AG16" i="1"/>
  <c r="AF16" i="1"/>
  <c r="AE16" i="1"/>
  <c r="Z16" i="1"/>
  <c r="Y16" i="1"/>
  <c r="X16" i="1"/>
  <c r="S16" i="1"/>
  <c r="R16" i="1"/>
  <c r="Q16" i="1"/>
  <c r="L16" i="1"/>
  <c r="AF15" i="1"/>
  <c r="AG15" i="1" s="1"/>
  <c r="AE15" i="1"/>
  <c r="Z15" i="1"/>
  <c r="Y15" i="1"/>
  <c r="X15" i="1"/>
  <c r="R15" i="1"/>
  <c r="S15" i="1" s="1"/>
  <c r="Q15" i="1"/>
  <c r="L15" i="1"/>
  <c r="DY14" i="1"/>
  <c r="DW14" i="1"/>
  <c r="CQ14" i="1"/>
  <c r="CL14" i="1"/>
  <c r="CG14" i="1"/>
  <c r="CB14" i="1"/>
  <c r="BW14" i="1"/>
  <c r="BR14" i="1"/>
  <c r="BM14" i="1"/>
  <c r="BH14" i="1"/>
  <c r="BC14" i="1"/>
  <c r="AX14" i="1"/>
  <c r="AS14" i="1"/>
  <c r="AN14" i="1"/>
  <c r="AF14" i="1"/>
  <c r="AG14" i="1" s="1"/>
  <c r="AE14" i="1"/>
  <c r="Z14" i="1"/>
  <c r="Y14" i="1"/>
  <c r="X14" i="1"/>
  <c r="R14" i="1"/>
  <c r="S14" i="1" s="1"/>
  <c r="Q14" i="1"/>
  <c r="L14" i="1"/>
  <c r="DY13" i="1"/>
  <c r="DW13" i="1"/>
  <c r="CQ13" i="1"/>
  <c r="CL13" i="1"/>
  <c r="CG13" i="1"/>
  <c r="CB13" i="1"/>
  <c r="BW13" i="1"/>
  <c r="BR13" i="1"/>
  <c r="BM13" i="1"/>
  <c r="BH13" i="1"/>
  <c r="BC13" i="1"/>
  <c r="AX13" i="1"/>
  <c r="AS13" i="1"/>
  <c r="AN13" i="1"/>
  <c r="AF13" i="1"/>
  <c r="AG13" i="1" s="1"/>
  <c r="AE13" i="1"/>
  <c r="Z13" i="1"/>
  <c r="Y13" i="1"/>
  <c r="X13" i="1"/>
  <c r="R13" i="1"/>
  <c r="S13" i="1" s="1"/>
  <c r="Q13" i="1"/>
  <c r="L13" i="1"/>
  <c r="ED12" i="1"/>
  <c r="EB12" i="1"/>
  <c r="EI12" i="1" s="1"/>
  <c r="DY12" i="1"/>
  <c r="DW12" i="1"/>
  <c r="CQ12" i="1"/>
  <c r="CL12" i="1"/>
  <c r="CG12" i="1"/>
  <c r="CB12" i="1"/>
  <c r="BW12" i="1"/>
  <c r="BR12" i="1"/>
  <c r="BM12" i="1"/>
  <c r="BH12" i="1"/>
  <c r="BC12" i="1"/>
  <c r="AX12" i="1"/>
  <c r="AS12" i="1"/>
  <c r="AN12" i="1"/>
  <c r="AF12" i="1"/>
  <c r="AG12" i="1" s="1"/>
  <c r="AE12" i="1"/>
  <c r="Y12" i="1"/>
  <c r="Z12" i="1" s="1"/>
  <c r="X12" i="1"/>
  <c r="R12" i="1"/>
  <c r="S12" i="1" s="1"/>
  <c r="Q12" i="1"/>
  <c r="L12" i="1"/>
  <c r="EI11" i="1"/>
  <c r="EG11" i="1"/>
  <c r="ED11" i="1"/>
  <c r="EB11" i="1"/>
  <c r="EG12" i="1" s="1"/>
  <c r="DY11" i="1"/>
  <c r="DW11" i="1"/>
  <c r="CQ11" i="1"/>
  <c r="CL11" i="1"/>
  <c r="CG11" i="1"/>
  <c r="CB11" i="1"/>
  <c r="BW11" i="1"/>
  <c r="BR11" i="1"/>
  <c r="BM11" i="1"/>
  <c r="BH11" i="1"/>
  <c r="BC11" i="1"/>
  <c r="AX11" i="1"/>
  <c r="AS11" i="1"/>
  <c r="AN11" i="1"/>
  <c r="AF11" i="1"/>
  <c r="AE11" i="1"/>
  <c r="Y11" i="1"/>
  <c r="X11" i="1"/>
  <c r="R11" i="1"/>
  <c r="Q11" i="1"/>
  <c r="L11" i="1"/>
  <c r="S11" i="1" s="1"/>
  <c r="AF10" i="1"/>
  <c r="AG10" i="1" s="1"/>
  <c r="AE10" i="1"/>
  <c r="Y10" i="1"/>
  <c r="Z10" i="1" s="1"/>
  <c r="X10" i="1"/>
  <c r="R10" i="1"/>
  <c r="S10" i="1" s="1"/>
  <c r="Q10" i="1"/>
  <c r="L10" i="1"/>
  <c r="AF9" i="1"/>
  <c r="AG9" i="1" s="1"/>
  <c r="AE9" i="1"/>
  <c r="Y9" i="1"/>
  <c r="Z9" i="1" s="1"/>
  <c r="X9" i="1"/>
  <c r="R9" i="1"/>
  <c r="S9" i="1" s="1"/>
  <c r="Q9" i="1"/>
  <c r="L9" i="1"/>
  <c r="AG8" i="1"/>
  <c r="AF8" i="1"/>
  <c r="AE8" i="1"/>
  <c r="Z8" i="1"/>
  <c r="Y8" i="1"/>
  <c r="X8" i="1"/>
  <c r="S8" i="1"/>
  <c r="R8" i="1"/>
  <c r="Q8" i="1"/>
  <c r="L8" i="1"/>
  <c r="AF7" i="1"/>
  <c r="AG7" i="1" s="1"/>
  <c r="AE7" i="1"/>
  <c r="Z7" i="1"/>
  <c r="Y7" i="1"/>
  <c r="X7" i="1"/>
  <c r="R7" i="1"/>
  <c r="S7" i="1" s="1"/>
  <c r="Q7" i="1"/>
  <c r="L7" i="1"/>
  <c r="AF6" i="1"/>
  <c r="AG6" i="1" s="1"/>
  <c r="AE6" i="1"/>
  <c r="Y6" i="1"/>
  <c r="Z6" i="1" s="1"/>
  <c r="X6" i="1"/>
  <c r="R6" i="1"/>
  <c r="S6" i="1" s="1"/>
  <c r="Q6" i="1"/>
  <c r="L6" i="1"/>
  <c r="AF5" i="1"/>
  <c r="AE5" i="1"/>
  <c r="Y5" i="1"/>
  <c r="X5" i="1"/>
  <c r="R5" i="1"/>
  <c r="Q5" i="1"/>
  <c r="L5" i="1"/>
  <c r="S5" i="1" s="1"/>
  <c r="Z5" i="1" l="1"/>
  <c r="Z11" i="1"/>
  <c r="Z19" i="1"/>
  <c r="Z20" i="1"/>
  <c r="Z21" i="1"/>
  <c r="Z24" i="1"/>
  <c r="AG5" i="1"/>
  <c r="AG11" i="1"/>
  <c r="AG19" i="1"/>
  <c r="AG20" i="1"/>
  <c r="AG21" i="1"/>
  <c r="AG24" i="1"/>
</calcChain>
</file>

<file path=xl/sharedStrings.xml><?xml version="1.0" encoding="utf-8"?>
<sst xmlns="http://schemas.openxmlformats.org/spreadsheetml/2006/main" count="1435" uniqueCount="132">
  <si>
    <t>KOUVADEIROS - WORLD CUP 2026 [ U.S.A. | MEXICO | CANADA ]</t>
  </si>
  <si>
    <t>BOIKOS PREDICTIONS</t>
  </si>
  <si>
    <t>MAVROMICHALIS PREDICTIONS</t>
  </si>
  <si>
    <t>CHOUSIADAS PREDICTIONS</t>
  </si>
  <si>
    <t>DATE</t>
  </si>
  <si>
    <t>TIME</t>
  </si>
  <si>
    <t>MD</t>
  </si>
  <si>
    <t>GROUP</t>
  </si>
  <si>
    <t>MATCH</t>
  </si>
  <si>
    <t>SCORE</t>
  </si>
  <si>
    <t>RESULT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</si>
  <si>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</si>
  <si>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</si>
  <si>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</si>
  <si>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</si>
  <si>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</si>
  <si>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</si>
  <si>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</si>
  <si>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</si>
  <si>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</si>
  <si>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</si>
  <si>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</si>
  <si>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</si>
  <si>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ROUND OF 32</t>
  </si>
  <si>
    <t>ROUND OF 16</t>
  </si>
  <si>
    <t>QUARTER-FINALS</t>
  </si>
  <si>
    <t>SEMI-FINALS</t>
  </si>
  <si>
    <t>FINAL &amp; 3rd PLACE MATCH</t>
  </si>
  <si>
    <t>A</t>
  </si>
  <si>
    <t>MEXICO</t>
  </si>
  <si>
    <t>-</t>
  </si>
  <si>
    <t>SOUTH AFRICA</t>
  </si>
  <si>
    <t>CZECHIA</t>
  </si>
  <si>
    <t>BOSNIA &amp; HERZ.</t>
  </si>
  <si>
    <t>BRAZIL</t>
  </si>
  <si>
    <t>AUSTRALIA</t>
  </si>
  <si>
    <t>COTE D' IVOIRE</t>
  </si>
  <si>
    <t>JAPAN</t>
  </si>
  <si>
    <t>BELGIUM</t>
  </si>
  <si>
    <t>CABO VERDE</t>
  </si>
  <si>
    <t>FRANCE</t>
  </si>
  <si>
    <t>ALGERIA</t>
  </si>
  <si>
    <t>COLOMBIA</t>
  </si>
  <si>
    <t>CROATIA</t>
  </si>
  <si>
    <t>SOUTH KOREA</t>
  </si>
  <si>
    <t>CANADA</t>
  </si>
  <si>
    <t>HAITI</t>
  </si>
  <si>
    <t>PARAGUAY</t>
  </si>
  <si>
    <t>CURACAO</t>
  </si>
  <si>
    <t>NETHERLANDS</t>
  </si>
  <si>
    <t>EGYPT</t>
  </si>
  <si>
    <t>SAUDI ARABIA</t>
  </si>
  <si>
    <t>IRAQ</t>
  </si>
  <si>
    <t>ARGENTINA</t>
  </si>
  <si>
    <t>CONGO DR</t>
  </si>
  <si>
    <t>ENGLAND</t>
  </si>
  <si>
    <t>B</t>
  </si>
  <si>
    <t>QATAR</t>
  </si>
  <si>
    <t>MOROCCO</t>
  </si>
  <si>
    <t>TURKIYE</t>
  </si>
  <si>
    <t>ECUADOR</t>
  </si>
  <si>
    <t>SWEDEN</t>
  </si>
  <si>
    <t>IRAN?</t>
  </si>
  <si>
    <t>SPAIN</t>
  </si>
  <si>
    <t>NORWAY</t>
  </si>
  <si>
    <t>AUSTRIA</t>
  </si>
  <si>
    <t>PORTUGAL</t>
  </si>
  <si>
    <t>GHANA</t>
  </si>
  <si>
    <t>13/6</t>
  </si>
  <si>
    <t>D</t>
  </si>
  <si>
    <t>U.S.A.</t>
  </si>
  <si>
    <t>SWITZERLAND</t>
  </si>
  <si>
    <t>SCOTLAND</t>
  </si>
  <si>
    <t>GERMANY</t>
  </si>
  <si>
    <t>TUNISIA</t>
  </si>
  <si>
    <t>NEW ZEALAND</t>
  </si>
  <si>
    <t>URUGUAY</t>
  </si>
  <si>
    <t>SENEGAL</t>
  </si>
  <si>
    <t>JORDAN</t>
  </si>
  <si>
    <t>UZBEKISTAN</t>
  </si>
  <si>
    <t>PANAMA</t>
  </si>
  <si>
    <t>14/6</t>
  </si>
  <si>
    <t>C</t>
  </si>
  <si>
    <t>BOIKOS</t>
  </si>
  <si>
    <t>QUAL.</t>
  </si>
  <si>
    <t>WIN</t>
  </si>
  <si>
    <t>E</t>
  </si>
  <si>
    <t>F</t>
  </si>
  <si>
    <t>15/6</t>
  </si>
  <si>
    <t>MAVROMICHALIS</t>
  </si>
  <si>
    <t>H</t>
  </si>
  <si>
    <t>G</t>
  </si>
  <si>
    <t>16/6</t>
  </si>
  <si>
    <t>IRAN ?</t>
  </si>
  <si>
    <t>I</t>
  </si>
  <si>
    <t>17/6</t>
  </si>
  <si>
    <t>CHOUSIADAS</t>
  </si>
  <si>
    <t>J</t>
  </si>
  <si>
    <t>K</t>
  </si>
  <si>
    <t>L</t>
  </si>
  <si>
    <t>18/6</t>
  </si>
  <si>
    <t>R32</t>
  </si>
  <si>
    <t>R16</t>
  </si>
  <si>
    <t>QF</t>
  </si>
  <si>
    <t>SF</t>
  </si>
  <si>
    <t>FIN</t>
  </si>
  <si>
    <t>1st team to score</t>
  </si>
  <si>
    <t>1st player to score</t>
  </si>
  <si>
    <t>Last team to score</t>
  </si>
  <si>
    <t>Last player to score</t>
  </si>
  <si>
    <t>Team that takes 1st yellow card</t>
  </si>
  <si>
    <t>Team that wins 1st corner kick</t>
  </si>
  <si>
    <t>ΟΔΗΓΙΕΣ ΓΙΑ ΤΟΝ</t>
  </si>
  <si>
    <t>ΣΤΗΝ 1η ΓΡΑΜΜΗ ΤΟΥ ΤΕΛΙΚΟΥ ΣΥΜΠΛΗΡΩΝΟΥΜΕ ΤΟ ΣΚΟΡ ΣΤΟ ΗΜΙΧΡΟΝΟ ΚΑΙ ΣΤΗ 2η ΓΡΑΜΜΗ ΤΟ ΣΚΟΡ ΣΤΑ 90'. ΣΤΗΝ 3η ΓΡΑΜΜΗ ΣΥΜΠΛΗΡΩΝΟΥΜΕ</t>
  </si>
  <si>
    <t>ΤΕΛΙΚΟ:</t>
  </si>
  <si>
    <t>ΤΟ ΣΚΟΡ ΣΤΑ 120' ΚΑΙ ΣΤΗΝ 4η ΓΡΑΜΜΗ ΤΟ ΣΚΟΡ ΣΤΑ ΠΕΝΑΛΤΙ. ΣΤΙΣ ΕΠΟΜΕΝΕΣ ΓΡΑΜΜΕΣ ΣΥΜΠΛΗΡΩΝΟΥΜΕ ΠΑΙΚΤΗ/ΟΜΑΔΑ ΓΙΑ ΤΑ ΕΙΔΙΚΑ ΣΤΟΙΧΗΜΑΤΑ.</t>
  </si>
  <si>
    <t>ΒΑΘΜΟΛΟΓΗΣΗ</t>
  </si>
  <si>
    <t>Ακριβές σκορ στο ημίχρονο</t>
  </si>
  <si>
    <t>ΤΕΛΙΚΟΥ:</t>
  </si>
  <si>
    <t>Ακριβές σκορ στα 90'</t>
  </si>
  <si>
    <t>Ακριβές σκορ στα 120'</t>
  </si>
  <si>
    <t>Ακριβές σκορ στα πέναλτι</t>
  </si>
  <si>
    <t>Αποτέλεσμα στο ημίχρονο</t>
  </si>
  <si>
    <t>Αποτέλεσμα στα 90'</t>
  </si>
  <si>
    <t>Αποτέλεσμα στα 120'</t>
  </si>
  <si>
    <t>Ομάδα που θα σκοράρει πρώτη</t>
  </si>
  <si>
    <t>Παίκτης που θα σκοράρει πρώτος</t>
  </si>
  <si>
    <t>Ομάδα που θα σκοράρει τελευταία</t>
  </si>
  <si>
    <t>Παίκτης που θα σκοράρει τελευταίος</t>
  </si>
  <si>
    <t>Ομάδα που θα πάρει την 1η κίτρινη</t>
  </si>
  <si>
    <t>Ομάδα που θα πάρει το 1ο κόρνερ</t>
  </si>
  <si>
    <t>Ομάδα που κατακτά το τρόπαιο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</si>
</sst>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;@"/>
    <numFmt numFmtId="165" formatCode="h:mm;@"/>
  </numFmts>
  <fonts count="8" x14ac:knownFonts="1">
    <font>
      <sz val="11"/>
      <color theme="1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color theme="0" tint="-0.14999847407452621"/>
      <name val="Calibri"/>
      <family val="2"/>
      <charset val="161"/>
      <scheme val="minor"/>
    </font>
    <font>
      <sz val="11"/>
      <color theme="0" tint="-0.249977111117893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 applyAlignment="1">
      <alignment horizontal="centerContinuous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Continuous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vertical="center"/>
    </xf>
    <xf numFmtId="0" fontId="3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Continuous" vertical="center"/>
    </xf>
    <xf numFmtId="0" fontId="2" fillId="3" borderId="12" xfId="0" applyFont="1" applyFill="1" applyBorder="1" applyAlignment="1">
      <alignment horizontal="centerContinuous" vertical="center"/>
    </xf>
    <xf numFmtId="0" fontId="2" fillId="3" borderId="11" xfId="0" applyFont="1" applyFill="1" applyBorder="1" applyAlignment="1">
      <alignment horizontal="centerContinuous" vertical="center"/>
    </xf>
    <xf numFmtId="164" fontId="0" fillId="2" borderId="6" xfId="0" applyNumberForma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right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2" xfId="0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2" fillId="4" borderId="10" xfId="0" applyFont="1" applyFill="1" applyBorder="1" applyAlignment="1">
      <alignment horizontal="centerContinuous" vertical="center"/>
    </xf>
    <xf numFmtId="0" fontId="2" fillId="4" borderId="11" xfId="0" applyFont="1" applyFill="1" applyBorder="1" applyAlignment="1">
      <alignment horizontal="centerContinuous" vertical="center"/>
    </xf>
    <xf numFmtId="0" fontId="2" fillId="4" borderId="12" xfId="0" applyFont="1" applyFill="1" applyBorder="1" applyAlignment="1">
      <alignment horizontal="centerContinuous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2" fillId="5" borderId="10" xfId="0" applyFont="1" applyFill="1" applyBorder="1" applyAlignment="1">
      <alignment horizontal="centerContinuous" vertical="center"/>
    </xf>
    <xf numFmtId="0" fontId="2" fillId="5" borderId="11" xfId="0" applyFont="1" applyFill="1" applyBorder="1" applyAlignment="1">
      <alignment horizontal="centerContinuous" vertical="center"/>
    </xf>
    <xf numFmtId="0" fontId="2" fillId="5" borderId="12" xfId="0" applyFont="1" applyFill="1" applyBorder="1" applyAlignment="1">
      <alignment horizontal="centerContinuous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6" borderId="10" xfId="0" applyFont="1" applyFill="1" applyBorder="1" applyAlignment="1">
      <alignment horizontal="centerContinuous" vertical="center"/>
    </xf>
    <xf numFmtId="0" fontId="3" fillId="6" borderId="11" xfId="0" applyFont="1" applyFill="1" applyBorder="1" applyAlignment="1">
      <alignment horizontal="centerContinuous" vertical="center"/>
    </xf>
    <xf numFmtId="0" fontId="3" fillId="6" borderId="12" xfId="0" applyFont="1" applyFill="1" applyBorder="1" applyAlignment="1">
      <alignment horizontal="centerContinuous" vertical="center"/>
    </xf>
    <xf numFmtId="0" fontId="3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9" xfId="0" applyFill="1" applyBorder="1" applyAlignment="1">
      <alignment horizontal="right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21" xfId="0" applyFill="1" applyBorder="1" applyAlignment="1">
      <alignment horizontal="left" vertical="center"/>
    </xf>
    <xf numFmtId="0" fontId="0" fillId="2" borderId="7" xfId="0" applyFill="1" applyBorder="1" applyAlignment="1">
      <alignment horizontal="righ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0" fontId="0" fillId="2" borderId="22" xfId="0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3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164" fontId="0" fillId="2" borderId="24" xfId="0" applyNumberFormat="1" applyFill="1" applyBorder="1" applyAlignment="1">
      <alignment horizontal="center" vertical="center"/>
    </xf>
    <xf numFmtId="165" fontId="0" fillId="2" borderId="24" xfId="0" applyNumberFormat="1" applyFill="1" applyBorder="1" applyAlignment="1">
      <alignment horizontal="center" vertical="center"/>
    </xf>
    <xf numFmtId="164" fontId="0" fillId="7" borderId="24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right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27" xfId="0" applyFill="1" applyBorder="1" applyAlignment="1">
      <alignment horizontal="left" vertical="center"/>
    </xf>
    <xf numFmtId="164" fontId="0" fillId="2" borderId="17" xfId="0" applyNumberFormat="1" applyFill="1" applyBorder="1" applyAlignment="1">
      <alignment horizontal="center" vertical="center"/>
    </xf>
    <xf numFmtId="165" fontId="0" fillId="2" borderId="17" xfId="0" applyNumberFormat="1" applyFill="1" applyBorder="1" applyAlignment="1">
      <alignment horizontal="center" vertical="center"/>
    </xf>
    <xf numFmtId="164" fontId="0" fillId="7" borderId="17" xfId="0" applyNumberForma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23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165" fontId="0" fillId="2" borderId="18" xfId="0" applyNumberForma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left" vertical="center"/>
    </xf>
    <xf numFmtId="0" fontId="0" fillId="2" borderId="18" xfId="0" applyFill="1" applyBorder="1" applyAlignment="1">
      <alignment horizontal="center" vertical="center"/>
    </xf>
    <xf numFmtId="164" fontId="6" fillId="7" borderId="17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right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left" vertical="center"/>
    </xf>
    <xf numFmtId="0" fontId="0" fillId="2" borderId="31" xfId="0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2" fillId="8" borderId="22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0" fillId="8" borderId="23" xfId="0" applyFill="1" applyBorder="1" applyAlignment="1">
      <alignment vertical="center"/>
    </xf>
    <xf numFmtId="0" fontId="0" fillId="8" borderId="22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17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9F37-17DF-4935-A611-09E113688BB2}">
  <dimension ref="A1:EJ205"/>
  <sheetViews>
    <sheetView showGridLines="0" tabSelected="1" topLeftCell="Q1" zoomScaleNormal="100" workbookViewId="0">
      <pane ySplit="4" topLeftCell="A5" activePane="bottomLeft" state="frozen"/>
      <selection activeCell="Q126" sqref="Q126"/>
      <selection pane="bottomLeft"/>
    </sheetView>
  </sheetViews>
  <sheetFormatPr defaultColWidth="9.09765625" defaultRowHeight="14.4" x14ac:dyDescent="0.3"/>
  <cols>
    <col min="1" max="2" width="7.59765625" style="3" customWidth="1"/>
    <col min="3" max="3" width="5" style="3" bestFit="1" customWidth="1"/>
    <col min="4" max="4" width="6.8984375" style="3" customWidth="1"/>
    <col min="5" max="5" width="15.296875" style="3" customWidth="1"/>
    <col min="6" max="6" width="1.59765625" style="3" bestFit="1" customWidth="1"/>
    <col min="7" max="7" width="15.296875" style="3" bestFit="1" customWidth="1"/>
    <col min="8" max="8" width="2.296875" style="3" customWidth="1"/>
    <col min="9" max="9" width="3.09765625" style="3" customWidth="1"/>
    <col min="10" max="10" width="1.59765625" style="3" bestFit="1" customWidth="1"/>
    <col min="11" max="11" width="3.09765625" style="3" customWidth="1"/>
    <col min="12" max="12" width="14.8984375" style="3" bestFit="1" customWidth="1"/>
    <col min="13" max="13" width="2" style="3" bestFit="1" customWidth="1"/>
    <col min="14" max="14" width="3.09765625" style="3" customWidth="1"/>
    <col min="15" max="15" width="1.59765625" style="3" customWidth="1"/>
    <col min="16" max="16" width="3.09765625" style="3" customWidth="1"/>
    <col min="17" max="17" width="6.296875" style="3" customWidth="1"/>
    <col min="18" max="18" width="14.8984375" style="3" bestFit="1" customWidth="1"/>
    <col min="19" max="19" width="4.69921875" style="3" customWidth="1"/>
    <col min="20" max="20" width="0.3984375" style="3" customWidth="1"/>
    <col min="21" max="21" width="3.09765625" style="3" customWidth="1"/>
    <col min="22" max="22" width="1.59765625" style="3" bestFit="1" customWidth="1"/>
    <col min="23" max="23" width="3.09765625" style="3" customWidth="1"/>
    <col min="24" max="24" width="6.296875" style="3" bestFit="1" customWidth="1"/>
    <col min="25" max="25" width="14.8984375" style="3" bestFit="1" customWidth="1"/>
    <col min="26" max="26" width="4.69921875" style="3" customWidth="1"/>
    <col min="27" max="27" width="0.3984375" style="3" customWidth="1"/>
    <col min="28" max="28" width="3.09765625" style="3" customWidth="1"/>
    <col min="29" max="29" width="1.59765625" style="3" bestFit="1" customWidth="1"/>
    <col min="30" max="30" width="3.09765625" style="3" customWidth="1"/>
    <col min="31" max="31" width="6.296875" style="3" bestFit="1" customWidth="1"/>
    <col min="32" max="32" width="14.8984375" style="3" bestFit="1" customWidth="1"/>
    <col min="33" max="33" width="4.69921875" style="3" customWidth="1"/>
    <col min="34" max="34" width="13.59765625" style="3" bestFit="1" customWidth="1"/>
    <col min="35" max="36" width="9.09765625" style="3"/>
    <col min="37" max="37" width="3.59765625" style="3" customWidth="1"/>
    <col min="38" max="38" width="14.3984375" style="3" customWidth="1"/>
    <col min="39" max="39" width="3.59765625" style="3" customWidth="1"/>
    <col min="40" max="40" width="4.69921875" style="3" customWidth="1"/>
    <col min="41" max="41" width="3" style="3" customWidth="1"/>
    <col min="42" max="42" width="3.59765625" style="3" customWidth="1"/>
    <col min="43" max="43" width="15.59765625" style="3" bestFit="1" customWidth="1"/>
    <col min="44" max="44" width="3.59765625" style="3" customWidth="1"/>
    <col min="45" max="45" width="4.69921875" style="3" customWidth="1"/>
    <col min="46" max="46" width="3" style="3" customWidth="1"/>
    <col min="47" max="47" width="3.59765625" style="3" customWidth="1"/>
    <col min="48" max="48" width="14.3984375" style="3" customWidth="1"/>
    <col min="49" max="49" width="3.59765625" style="3" customWidth="1"/>
    <col min="50" max="50" width="4.69921875" style="3" customWidth="1"/>
    <col min="51" max="51" width="3" style="3" customWidth="1"/>
    <col min="52" max="52" width="3.59765625" style="3" customWidth="1"/>
    <col min="53" max="53" width="14.3984375" style="3" customWidth="1"/>
    <col min="54" max="54" width="3.59765625" style="3" customWidth="1"/>
    <col min="55" max="55" width="4.69921875" style="3" customWidth="1"/>
    <col min="56" max="56" width="3" style="3" customWidth="1"/>
    <col min="57" max="57" width="3.59765625" style="3" customWidth="1"/>
    <col min="58" max="58" width="14.3984375" style="3" customWidth="1"/>
    <col min="59" max="59" width="3.59765625" style="3" customWidth="1"/>
    <col min="60" max="60" width="4.69921875" style="3" customWidth="1"/>
    <col min="61" max="61" width="3" style="3" customWidth="1"/>
    <col min="62" max="62" width="3.59765625" style="3" customWidth="1"/>
    <col min="63" max="63" width="14.3984375" style="3" customWidth="1"/>
    <col min="64" max="64" width="3.59765625" style="3" customWidth="1"/>
    <col min="65" max="65" width="4.69921875" style="3" customWidth="1"/>
    <col min="66" max="66" width="3" style="3" customWidth="1"/>
    <col min="67" max="67" width="3.59765625" style="3" customWidth="1"/>
    <col min="68" max="68" width="14.3984375" style="3" customWidth="1"/>
    <col min="69" max="69" width="3.59765625" style="3" customWidth="1"/>
    <col min="70" max="70" width="4.69921875" style="3" customWidth="1"/>
    <col min="71" max="71" width="3" style="3" customWidth="1"/>
    <col min="72" max="72" width="3.59765625" style="3" customWidth="1"/>
    <col min="73" max="73" width="14.3984375" style="3" customWidth="1"/>
    <col min="74" max="74" width="3.59765625" style="3" customWidth="1"/>
    <col min="75" max="75" width="4.69921875" style="3" customWidth="1"/>
    <col min="76" max="76" width="3" style="3" customWidth="1"/>
    <col min="77" max="77" width="3.59765625" style="3" customWidth="1"/>
    <col min="78" max="78" width="14.3984375" style="3" customWidth="1"/>
    <col min="79" max="79" width="3.59765625" style="3" customWidth="1"/>
    <col min="80" max="80" width="4.69921875" style="3" customWidth="1"/>
    <col min="81" max="81" width="3" style="3" customWidth="1"/>
    <col min="82" max="82" width="3.59765625" style="3" customWidth="1"/>
    <col min="83" max="83" width="14.3984375" style="3" customWidth="1"/>
    <col min="84" max="84" width="3.59765625" style="3" customWidth="1"/>
    <col min="85" max="85" width="4.69921875" style="3" customWidth="1"/>
    <col min="86" max="86" width="3" style="3" customWidth="1"/>
    <col min="87" max="87" width="3.59765625" style="3" customWidth="1"/>
    <col min="88" max="88" width="14.3984375" style="3" customWidth="1"/>
    <col min="89" max="89" width="3.59765625" style="3" customWidth="1"/>
    <col min="90" max="90" width="4.69921875" style="3" customWidth="1"/>
    <col min="91" max="91" width="3" style="3" customWidth="1"/>
    <col min="92" max="92" width="3.59765625" style="3" customWidth="1"/>
    <col min="93" max="93" width="14.3984375" style="3" customWidth="1"/>
    <col min="94" max="94" width="3.59765625" style="3" customWidth="1"/>
    <col min="95" max="95" width="4.69921875" style="3" customWidth="1"/>
    <col min="96" max="100" width="9.09765625" style="3"/>
    <col min="101" max="101" width="1.69921875" style="3" customWidth="1"/>
    <col min="102" max="105" width="9.09765625" style="3"/>
    <col min="106" max="106" width="1.69921875" style="3" customWidth="1"/>
    <col min="107" max="110" width="9.09765625" style="3"/>
    <col min="111" max="111" width="1.69921875" style="3" customWidth="1"/>
    <col min="112" max="116" width="9.09765625" style="3"/>
    <col min="117" max="117" width="14.3984375" style="3" customWidth="1"/>
    <col min="118" max="118" width="1.59765625" style="3" bestFit="1" customWidth="1"/>
    <col min="119" max="119" width="14.3984375" style="3" customWidth="1"/>
    <col min="120" max="120" width="17.3984375" style="3" customWidth="1"/>
    <col min="121" max="121" width="2.69921875" style="3" customWidth="1"/>
    <col min="122" max="122" width="14.3984375" style="3" customWidth="1"/>
    <col min="123" max="123" width="1.59765625" style="3" bestFit="1" customWidth="1"/>
    <col min="124" max="125" width="14.3984375" style="3" customWidth="1"/>
    <col min="126" max="126" width="5.3984375" style="3" customWidth="1"/>
    <col min="127" max="127" width="14.3984375" style="3" customWidth="1"/>
    <col min="128" max="128" width="1.59765625" style="3" bestFit="1" customWidth="1"/>
    <col min="129" max="130" width="14.3984375" style="3" customWidth="1"/>
    <col min="131" max="131" width="5.3984375" style="3" customWidth="1"/>
    <col min="132" max="132" width="14.3984375" style="3" customWidth="1"/>
    <col min="133" max="133" width="1.59765625" style="3" bestFit="1" customWidth="1"/>
    <col min="134" max="134" width="11.69921875" style="3" customWidth="1"/>
    <col min="135" max="135" width="14.3984375" style="3" customWidth="1"/>
    <col min="136" max="136" width="5.3984375" style="3" customWidth="1"/>
    <col min="137" max="137" width="14.3984375" style="3" customWidth="1"/>
    <col min="138" max="138" width="1.59765625" style="3" bestFit="1" customWidth="1"/>
    <col min="139" max="140" width="14.3984375" style="3" customWidth="1"/>
    <col min="141" max="16384" width="9.09765625" style="3"/>
  </cols>
  <sheetData>
    <row r="1" spans="1:140" ht="21.0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</row>
    <row r="2" spans="1:140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2"/>
    </row>
    <row r="3" spans="1:140" x14ac:dyDescent="0.3">
      <c r="A3" s="5"/>
      <c r="B3" s="5"/>
      <c r="C3" s="5"/>
      <c r="D3" s="5"/>
      <c r="E3" s="6"/>
      <c r="F3" s="7"/>
      <c r="G3" s="8"/>
      <c r="H3" s="9"/>
      <c r="I3" s="6"/>
      <c r="J3" s="7"/>
      <c r="K3" s="8"/>
      <c r="L3" s="5"/>
      <c r="M3" s="9"/>
      <c r="N3" s="10" t="s">
        <v>1</v>
      </c>
      <c r="O3" s="10"/>
      <c r="P3" s="10"/>
      <c r="Q3" s="10"/>
      <c r="R3" s="10"/>
      <c r="S3" s="10"/>
      <c r="T3" s="9"/>
      <c r="U3" s="11" t="s">
        <v>2</v>
      </c>
      <c r="V3" s="11"/>
      <c r="W3" s="11"/>
      <c r="X3" s="11"/>
      <c r="Y3" s="11"/>
      <c r="Z3" s="11"/>
      <c r="AA3" s="9"/>
      <c r="AB3" s="12" t="s">
        <v>3</v>
      </c>
      <c r="AC3" s="12"/>
      <c r="AD3" s="12"/>
      <c r="AE3" s="12"/>
      <c r="AF3" s="12"/>
      <c r="AG3" s="12"/>
      <c r="AH3" s="2"/>
    </row>
    <row r="4" spans="1:140" x14ac:dyDescent="0.3">
      <c r="A4" s="13" t="s">
        <v>4</v>
      </c>
      <c r="B4" s="13" t="s">
        <v>5</v>
      </c>
      <c r="C4" s="13" t="s">
        <v>6</v>
      </c>
      <c r="D4" s="13" t="s">
        <v>7</v>
      </c>
      <c r="E4" s="14" t="s">
        <v>8</v>
      </c>
      <c r="F4" s="15"/>
      <c r="G4" s="16"/>
      <c r="H4" s="9"/>
      <c r="I4" s="14" t="s">
        <v>9</v>
      </c>
      <c r="J4" s="15"/>
      <c r="K4" s="16"/>
      <c r="L4" s="13" t="s">
        <v>10</v>
      </c>
      <c r="M4" s="9"/>
      <c r="N4" s="17" t="s">
        <v>9</v>
      </c>
      <c r="O4" s="18"/>
      <c r="P4" s="18"/>
      <c r="Q4" s="19"/>
      <c r="R4" s="20" t="s">
        <v>10</v>
      </c>
      <c r="S4" s="21"/>
      <c r="T4" s="9"/>
      <c r="U4" s="22" t="s">
        <v>9</v>
      </c>
      <c r="V4" s="23"/>
      <c r="W4" s="23"/>
      <c r="X4" s="24"/>
      <c r="Y4" s="25" t="s">
        <v>10</v>
      </c>
      <c r="Z4" s="26"/>
      <c r="AA4" s="9"/>
      <c r="AB4" s="27" t="s">
        <v>9</v>
      </c>
      <c r="AC4" s="28"/>
      <c r="AD4" s="28"/>
      <c r="AE4" s="29"/>
      <c r="AF4" s="30" t="s">
        <v>10</v>
      </c>
      <c r="AG4" s="31"/>
      <c r="AH4" s="2"/>
      <c r="AK4" s="32" t="s">
        <v>11</v>
      </c>
      <c r="AL4" s="33"/>
      <c r="AM4" s="33"/>
      <c r="AN4" s="33"/>
      <c r="AP4" s="32" t="s">
        <v>12</v>
      </c>
      <c r="AQ4" s="33"/>
      <c r="AR4" s="33"/>
      <c r="AS4" s="33"/>
      <c r="AU4" s="32" t="s">
        <v>13</v>
      </c>
      <c r="AV4" s="33"/>
      <c r="AW4" s="33"/>
      <c r="AX4" s="33"/>
      <c r="AZ4" s="32" t="s">
        <v>14</v>
      </c>
      <c r="BA4" s="33"/>
      <c r="BB4" s="33"/>
      <c r="BC4" s="33"/>
      <c r="BE4" s="32" t="s">
        <v>15</v>
      </c>
      <c r="BF4" s="33"/>
      <c r="BG4" s="33"/>
      <c r="BH4" s="33"/>
      <c r="BJ4" s="32" t="s">
        <v>16</v>
      </c>
      <c r="BK4" s="33"/>
      <c r="BL4" s="33"/>
      <c r="BM4" s="33"/>
      <c r="BO4" s="32" t="s">
        <v>17</v>
      </c>
      <c r="BP4" s="33"/>
      <c r="BQ4" s="33"/>
      <c r="BR4" s="33"/>
      <c r="BT4" s="32" t="s">
        <v>18</v>
      </c>
      <c r="BU4" s="33"/>
      <c r="BV4" s="33"/>
      <c r="BW4" s="33"/>
      <c r="BY4" s="32" t="s">
        <v>19</v>
      </c>
      <c r="BZ4" s="33"/>
      <c r="CA4" s="33"/>
      <c r="CB4" s="33"/>
      <c r="CD4" s="32" t="s">
        <v>20</v>
      </c>
      <c r="CE4" s="33"/>
      <c r="CF4" s="33"/>
      <c r="CG4" s="33"/>
      <c r="CI4" s="32" t="s">
        <v>21</v>
      </c>
      <c r="CJ4" s="33"/>
      <c r="CK4" s="33"/>
      <c r="CL4" s="33"/>
      <c r="CN4" s="32" t="s">
        <v>22</v>
      </c>
      <c r="CO4" s="33"/>
      <c r="CP4" s="33"/>
      <c r="CQ4" s="33"/>
      <c r="CS4" s="32" t="s">
        <v>23</v>
      </c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3"/>
      <c r="DM4" s="32" t="s">
        <v>24</v>
      </c>
      <c r="DN4" s="34"/>
      <c r="DO4" s="34"/>
      <c r="DP4" s="34"/>
      <c r="DQ4" s="34"/>
      <c r="DR4" s="34"/>
      <c r="DS4" s="34"/>
      <c r="DT4" s="34"/>
      <c r="DU4" s="33"/>
      <c r="DW4" s="32" t="s">
        <v>25</v>
      </c>
      <c r="DX4" s="34"/>
      <c r="DY4" s="34"/>
      <c r="DZ4" s="33"/>
      <c r="EB4" s="32" t="s">
        <v>26</v>
      </c>
      <c r="EC4" s="34"/>
      <c r="ED4" s="34"/>
      <c r="EE4" s="33"/>
      <c r="EG4" s="32" t="s">
        <v>27</v>
      </c>
      <c r="EH4" s="34"/>
      <c r="EI4" s="34"/>
      <c r="EJ4" s="33"/>
    </row>
    <row r="5" spans="1:140" x14ac:dyDescent="0.3">
      <c r="A5" s="35">
        <v>46184</v>
      </c>
      <c r="B5" s="36">
        <v>0.91666666666666663</v>
      </c>
      <c r="C5" s="37">
        <v>1</v>
      </c>
      <c r="D5" s="37" t="s">
        <v>28</v>
      </c>
      <c r="E5" s="38" t="s">
        <v>29</v>
      </c>
      <c r="F5" s="39" t="s">
        <v>30</v>
      </c>
      <c r="G5" s="40" t="s">
        <v>31</v>
      </c>
      <c r="H5" s="2"/>
      <c r="I5" s="41"/>
      <c r="J5" s="39" t="s">
        <v>30</v>
      </c>
      <c r="K5" s="42"/>
      <c r="L5" s="37" t="str">
        <f>IF(I5&gt;K5,E5,IF(K5&gt;I5,G5,"DRAW"))</f>
        <v>DRAW</v>
      </c>
      <c r="M5" s="43"/>
      <c r="N5" s="41"/>
      <c r="O5" s="39" t="s">
        <v>30</v>
      </c>
      <c r="P5" s="42"/>
      <c r="Q5" s="44" t="b">
        <f>AND(N5=$I5,P5=$K5)</f>
        <v>1</v>
      </c>
      <c r="R5" s="44" t="str">
        <f>IF(N5&gt;P5,$E5,IF(P5&gt;N5,$G5,"DRAW"))</f>
        <v>DRAW</v>
      </c>
      <c r="S5" s="44">
        <f>IF(R5=$L5,1,0)</f>
        <v>1</v>
      </c>
      <c r="T5" s="2"/>
      <c r="U5" s="41">
        <v>2</v>
      </c>
      <c r="V5" s="39" t="s">
        <v>30</v>
      </c>
      <c r="W5" s="42">
        <v>0</v>
      </c>
      <c r="X5" s="44" t="b">
        <f>AND(U5=$I5,W5=$K5)</f>
        <v>0</v>
      </c>
      <c r="Y5" s="44" t="str">
        <f>IF(U5&gt;W5,$E5,IF(W5&gt;U5,$G5,"DRAW"))</f>
        <v>MEXICO</v>
      </c>
      <c r="Z5" s="44">
        <f>IF(Y5=$L5,1,0)</f>
        <v>0</v>
      </c>
      <c r="AA5" s="2"/>
      <c r="AB5" s="41"/>
      <c r="AC5" s="39" t="s">
        <v>30</v>
      </c>
      <c r="AD5" s="42"/>
      <c r="AE5" s="44" t="b">
        <f>AND(AB5=$I5,AD5=$K5)</f>
        <v>1</v>
      </c>
      <c r="AF5" s="44" t="str">
        <f>IF(AB5&gt;AD5,$E5,IF(AD5&gt;AB5,$G5,"DRAW"))</f>
        <v>DRAW</v>
      </c>
      <c r="AG5" s="44">
        <f>IF(AF5=$L5,1,0)</f>
        <v>1</v>
      </c>
      <c r="AH5" s="45"/>
      <c r="AK5" s="46">
        <v>1</v>
      </c>
      <c r="AL5" s="47" t="s">
        <v>32</v>
      </c>
      <c r="AM5" s="40"/>
      <c r="AN5" s="48"/>
      <c r="AP5" s="48">
        <v>1</v>
      </c>
      <c r="AQ5" s="47" t="s">
        <v>33</v>
      </c>
      <c r="AR5" s="40"/>
      <c r="AS5" s="48"/>
      <c r="AU5" s="48">
        <v>1</v>
      </c>
      <c r="AV5" s="47" t="s">
        <v>34</v>
      </c>
      <c r="AW5" s="49"/>
      <c r="AX5" s="46"/>
      <c r="AZ5" s="48">
        <v>1</v>
      </c>
      <c r="BA5" s="47" t="s">
        <v>35</v>
      </c>
      <c r="BB5" s="40"/>
      <c r="BC5" s="48"/>
      <c r="BE5" s="48">
        <v>1</v>
      </c>
      <c r="BF5" s="47" t="s">
        <v>36</v>
      </c>
      <c r="BG5" s="40"/>
      <c r="BH5" s="48"/>
      <c r="BJ5" s="46">
        <v>1</v>
      </c>
      <c r="BK5" s="47" t="s">
        <v>37</v>
      </c>
      <c r="BL5" s="40"/>
      <c r="BM5" s="48"/>
      <c r="BO5" s="48">
        <v>1</v>
      </c>
      <c r="BP5" s="47" t="s">
        <v>38</v>
      </c>
      <c r="BQ5" s="40"/>
      <c r="BR5" s="48"/>
      <c r="BT5" s="48">
        <v>1</v>
      </c>
      <c r="BU5" s="47" t="s">
        <v>39</v>
      </c>
      <c r="BV5" s="40"/>
      <c r="BW5" s="48"/>
      <c r="BY5" s="48">
        <v>1</v>
      </c>
      <c r="BZ5" s="47" t="s">
        <v>40</v>
      </c>
      <c r="CA5" s="40"/>
      <c r="CB5" s="48"/>
      <c r="CD5" s="46">
        <v>1</v>
      </c>
      <c r="CE5" s="47" t="s">
        <v>41</v>
      </c>
      <c r="CF5" s="40"/>
      <c r="CG5" s="48"/>
      <c r="CI5" s="48">
        <v>1</v>
      </c>
      <c r="CJ5" s="47" t="s">
        <v>42</v>
      </c>
      <c r="CK5" s="40"/>
      <c r="CL5" s="48"/>
      <c r="CN5" s="48">
        <v>1</v>
      </c>
      <c r="CO5" s="47" t="s">
        <v>43</v>
      </c>
      <c r="CP5" s="40"/>
      <c r="CQ5" s="48"/>
    </row>
    <row r="6" spans="1:140" ht="14.95" thickBot="1" x14ac:dyDescent="0.35">
      <c r="A6" s="35">
        <v>46185</v>
      </c>
      <c r="B6" s="36">
        <v>0.20833333333333334</v>
      </c>
      <c r="C6" s="37">
        <v>1</v>
      </c>
      <c r="D6" s="37" t="s">
        <v>28</v>
      </c>
      <c r="E6" s="38" t="s">
        <v>44</v>
      </c>
      <c r="F6" s="39" t="s">
        <v>30</v>
      </c>
      <c r="G6" s="40" t="s">
        <v>32</v>
      </c>
      <c r="H6" s="2"/>
      <c r="I6" s="41"/>
      <c r="J6" s="39" t="s">
        <v>30</v>
      </c>
      <c r="K6" s="42"/>
      <c r="L6" s="37" t="str">
        <f>IF(I6&gt;K6,E6,IF(K6&gt;I6,G6,"DRAW"))</f>
        <v>DRAW</v>
      </c>
      <c r="M6" s="43"/>
      <c r="N6" s="41"/>
      <c r="O6" s="39" t="s">
        <v>30</v>
      </c>
      <c r="P6" s="42"/>
      <c r="Q6" s="44" t="b">
        <f>AND(N6=$I6,P6=$K6)</f>
        <v>1</v>
      </c>
      <c r="R6" s="44" t="str">
        <f>IF(N6&gt;P6,$E6,IF(P6&gt;N6,$G6,"DRAW"))</f>
        <v>DRAW</v>
      </c>
      <c r="S6" s="44">
        <f>IF(R6=$L6,1,0)</f>
        <v>1</v>
      </c>
      <c r="T6" s="2"/>
      <c r="U6" s="41">
        <v>1</v>
      </c>
      <c r="V6" s="39" t="s">
        <v>30</v>
      </c>
      <c r="W6" s="42">
        <v>2</v>
      </c>
      <c r="X6" s="44" t="b">
        <f>AND(U6=$I6,W6=$K6)</f>
        <v>0</v>
      </c>
      <c r="Y6" s="44" t="str">
        <f>IF(U6&gt;W6,$E6,IF(W6&gt;U6,$G6,"DRAW"))</f>
        <v>CZECHIA</v>
      </c>
      <c r="Z6" s="44">
        <f>IF(Y6=$L6,1,0)</f>
        <v>0</v>
      </c>
      <c r="AA6" s="2"/>
      <c r="AB6" s="41"/>
      <c r="AC6" s="39" t="s">
        <v>30</v>
      </c>
      <c r="AD6" s="42"/>
      <c r="AE6" s="44" t="b">
        <f>AND(AB6=$I6,AD6=$K6)</f>
        <v>1</v>
      </c>
      <c r="AF6" s="44" t="str">
        <f>IF(AB6&gt;AD6,$E6,IF(AD6&gt;AB6,$G6,"DRAW"))</f>
        <v>DRAW</v>
      </c>
      <c r="AG6" s="44">
        <f>IF(AF6=$L6,1,0)</f>
        <v>1</v>
      </c>
      <c r="AH6" s="45"/>
      <c r="AK6" s="50">
        <v>2</v>
      </c>
      <c r="AL6" s="51" t="s">
        <v>29</v>
      </c>
      <c r="AM6" s="52"/>
      <c r="AN6" s="50"/>
      <c r="AP6" s="53">
        <v>2</v>
      </c>
      <c r="AQ6" s="51" t="s">
        <v>45</v>
      </c>
      <c r="AR6" s="52"/>
      <c r="AS6" s="53"/>
      <c r="AU6" s="53">
        <v>2</v>
      </c>
      <c r="AV6" s="51" t="s">
        <v>46</v>
      </c>
      <c r="AW6" s="52"/>
      <c r="AX6" s="53"/>
      <c r="AZ6" s="53">
        <v>2</v>
      </c>
      <c r="BA6" s="51" t="s">
        <v>47</v>
      </c>
      <c r="BB6" s="52"/>
      <c r="BC6" s="53"/>
      <c r="BE6" s="53">
        <v>2</v>
      </c>
      <c r="BF6" s="51" t="s">
        <v>48</v>
      </c>
      <c r="BG6" s="52"/>
      <c r="BH6" s="53"/>
      <c r="BJ6" s="53">
        <v>2</v>
      </c>
      <c r="BK6" s="51" t="s">
        <v>49</v>
      </c>
      <c r="BL6" s="52"/>
      <c r="BM6" s="53"/>
      <c r="BO6" s="53">
        <v>2</v>
      </c>
      <c r="BP6" s="51" t="s">
        <v>50</v>
      </c>
      <c r="BQ6" s="52"/>
      <c r="BR6" s="53"/>
      <c r="BT6" s="53">
        <v>2</v>
      </c>
      <c r="BU6" s="51" t="s">
        <v>51</v>
      </c>
      <c r="BV6" s="52"/>
      <c r="BW6" s="53"/>
      <c r="BY6" s="53">
        <v>2</v>
      </c>
      <c r="BZ6" s="51" t="s">
        <v>52</v>
      </c>
      <c r="CA6" s="52"/>
      <c r="CB6" s="53"/>
      <c r="CD6" s="53">
        <v>2</v>
      </c>
      <c r="CE6" s="51" t="s">
        <v>53</v>
      </c>
      <c r="CF6" s="52"/>
      <c r="CG6" s="53"/>
      <c r="CI6" s="53">
        <v>2</v>
      </c>
      <c r="CJ6" s="51" t="s">
        <v>54</v>
      </c>
      <c r="CK6" s="52"/>
      <c r="CL6" s="53"/>
      <c r="CN6" s="53">
        <v>2</v>
      </c>
      <c r="CO6" s="51" t="s">
        <v>55</v>
      </c>
      <c r="CP6" s="52"/>
      <c r="CQ6" s="53"/>
    </row>
    <row r="7" spans="1:140" x14ac:dyDescent="0.3">
      <c r="A7" s="35">
        <v>46185</v>
      </c>
      <c r="B7" s="36">
        <v>0.91666666666666663</v>
      </c>
      <c r="C7" s="37">
        <v>1</v>
      </c>
      <c r="D7" s="37" t="s">
        <v>56</v>
      </c>
      <c r="E7" s="38" t="s">
        <v>45</v>
      </c>
      <c r="F7" s="39" t="s">
        <v>30</v>
      </c>
      <c r="G7" s="40" t="s">
        <v>33</v>
      </c>
      <c r="H7" s="2"/>
      <c r="I7" s="41"/>
      <c r="J7" s="39" t="s">
        <v>30</v>
      </c>
      <c r="K7" s="42"/>
      <c r="L7" s="37" t="str">
        <f t="shared" ref="L7:L70" si="0">IF(I7&gt;K7,E7,IF(K7&gt;I7,G7,"DRAW"))</f>
        <v>DRAW</v>
      </c>
      <c r="M7" s="43"/>
      <c r="N7" s="41"/>
      <c r="O7" s="39" t="s">
        <v>30</v>
      </c>
      <c r="P7" s="42"/>
      <c r="Q7" s="44" t="b">
        <f t="shared" ref="Q7:Q70" si="1">AND(N7=$I7,P7=$K7)</f>
        <v>1</v>
      </c>
      <c r="R7" s="44" t="str">
        <f t="shared" ref="R7:R70" si="2">IF(N7&gt;P7,$E7,IF(P7&gt;N7,$G7,"DRAW"))</f>
        <v>DRAW</v>
      </c>
      <c r="S7" s="44">
        <f t="shared" ref="S7:S70" si="3">IF(R7=$L7,1,0)</f>
        <v>1</v>
      </c>
      <c r="T7" s="2"/>
      <c r="U7" s="41">
        <v>0</v>
      </c>
      <c r="V7" s="39" t="s">
        <v>30</v>
      </c>
      <c r="W7" s="42">
        <v>0</v>
      </c>
      <c r="X7" s="44" t="b">
        <f t="shared" ref="X7:X70" si="4">AND(U7=$I7,W7=$K7)</f>
        <v>1</v>
      </c>
      <c r="Y7" s="44" t="str">
        <f t="shared" ref="Y7:Y70" si="5">IF(U7&gt;W7,$E7,IF(W7&gt;U7,$G7,"DRAW"))</f>
        <v>DRAW</v>
      </c>
      <c r="Z7" s="44">
        <f t="shared" ref="Z7:Z70" si="6">IF(Y7=$L7,1,0)</f>
        <v>1</v>
      </c>
      <c r="AA7" s="2"/>
      <c r="AB7" s="41"/>
      <c r="AC7" s="39" t="s">
        <v>30</v>
      </c>
      <c r="AD7" s="42"/>
      <c r="AE7" s="44" t="b">
        <f t="shared" ref="AE7:AE70" si="7">AND(AB7=$I7,AD7=$K7)</f>
        <v>1</v>
      </c>
      <c r="AF7" s="44" t="str">
        <f t="shared" ref="AF7:AF70" si="8">IF(AB7&gt;AD7,$E7,IF(AD7&gt;AB7,$G7,"DRAW"))</f>
        <v>DRAW</v>
      </c>
      <c r="AG7" s="44">
        <f t="shared" ref="AG7:AG70" si="9">IF(AF7=$L7,1,0)</f>
        <v>1</v>
      </c>
      <c r="AH7" s="45"/>
      <c r="AK7" s="54">
        <v>3</v>
      </c>
      <c r="AL7" s="55" t="s">
        <v>31</v>
      </c>
      <c r="AM7" s="56"/>
      <c r="AN7" s="54"/>
      <c r="AP7" s="46">
        <v>3</v>
      </c>
      <c r="AQ7" s="55" t="s">
        <v>57</v>
      </c>
      <c r="AR7" s="56"/>
      <c r="AS7" s="46"/>
      <c r="AU7" s="46">
        <v>3</v>
      </c>
      <c r="AV7" s="55" t="s">
        <v>58</v>
      </c>
      <c r="AW7" s="56"/>
      <c r="AX7" s="46"/>
      <c r="AZ7" s="46">
        <v>3</v>
      </c>
      <c r="BA7" s="55" t="s">
        <v>59</v>
      </c>
      <c r="BB7" s="56"/>
      <c r="BC7" s="46"/>
      <c r="BE7" s="46">
        <v>3</v>
      </c>
      <c r="BF7" s="55" t="s">
        <v>60</v>
      </c>
      <c r="BG7" s="56"/>
      <c r="BH7" s="46"/>
      <c r="BJ7" s="46">
        <v>3</v>
      </c>
      <c r="BK7" s="55" t="s">
        <v>61</v>
      </c>
      <c r="BL7" s="56"/>
      <c r="BM7" s="46"/>
      <c r="BO7" s="46">
        <v>3</v>
      </c>
      <c r="BP7" s="55" t="s">
        <v>62</v>
      </c>
      <c r="BQ7" s="56"/>
      <c r="BR7" s="46"/>
      <c r="BT7" s="46">
        <v>3</v>
      </c>
      <c r="BU7" s="55" t="s">
        <v>63</v>
      </c>
      <c r="BV7" s="56"/>
      <c r="BW7" s="46"/>
      <c r="BY7" s="46">
        <v>3</v>
      </c>
      <c r="BZ7" s="55" t="s">
        <v>64</v>
      </c>
      <c r="CA7" s="56"/>
      <c r="CB7" s="46"/>
      <c r="CD7" s="46">
        <v>3</v>
      </c>
      <c r="CE7" s="55" t="s">
        <v>65</v>
      </c>
      <c r="CF7" s="56"/>
      <c r="CG7" s="46"/>
      <c r="CI7" s="46">
        <v>3</v>
      </c>
      <c r="CJ7" s="55" t="s">
        <v>66</v>
      </c>
      <c r="CK7" s="56"/>
      <c r="CL7" s="46"/>
      <c r="CN7" s="46">
        <v>3</v>
      </c>
      <c r="CO7" s="55" t="s">
        <v>67</v>
      </c>
      <c r="CP7" s="56"/>
      <c r="CQ7" s="46"/>
    </row>
    <row r="8" spans="1:140" x14ac:dyDescent="0.3">
      <c r="A8" s="35" t="s">
        <v>68</v>
      </c>
      <c r="B8" s="36">
        <v>0.16666666666666666</v>
      </c>
      <c r="C8" s="37">
        <v>1</v>
      </c>
      <c r="D8" s="37" t="s">
        <v>69</v>
      </c>
      <c r="E8" s="38" t="s">
        <v>70</v>
      </c>
      <c r="F8" s="39" t="s">
        <v>30</v>
      </c>
      <c r="G8" s="40" t="s">
        <v>47</v>
      </c>
      <c r="H8" s="2"/>
      <c r="I8" s="41"/>
      <c r="J8" s="39" t="s">
        <v>30</v>
      </c>
      <c r="K8" s="42"/>
      <c r="L8" s="37" t="str">
        <f t="shared" si="0"/>
        <v>DRAW</v>
      </c>
      <c r="M8" s="43"/>
      <c r="N8" s="41"/>
      <c r="O8" s="39" t="s">
        <v>30</v>
      </c>
      <c r="P8" s="42"/>
      <c r="Q8" s="44" t="b">
        <f t="shared" si="1"/>
        <v>1</v>
      </c>
      <c r="R8" s="44" t="str">
        <f t="shared" si="2"/>
        <v>DRAW</v>
      </c>
      <c r="S8" s="44">
        <f t="shared" si="3"/>
        <v>1</v>
      </c>
      <c r="T8" s="2"/>
      <c r="U8" s="41">
        <v>0</v>
      </c>
      <c r="V8" s="39" t="s">
        <v>30</v>
      </c>
      <c r="W8" s="42">
        <v>1</v>
      </c>
      <c r="X8" s="44" t="b">
        <f t="shared" si="4"/>
        <v>0</v>
      </c>
      <c r="Y8" s="44" t="str">
        <f t="shared" si="5"/>
        <v>PARAGUAY</v>
      </c>
      <c r="Z8" s="44">
        <f t="shared" si="6"/>
        <v>0</v>
      </c>
      <c r="AA8" s="2"/>
      <c r="AB8" s="41"/>
      <c r="AC8" s="39" t="s">
        <v>30</v>
      </c>
      <c r="AD8" s="42"/>
      <c r="AE8" s="44" t="b">
        <f t="shared" si="7"/>
        <v>1</v>
      </c>
      <c r="AF8" s="44" t="str">
        <f t="shared" si="8"/>
        <v>DRAW</v>
      </c>
      <c r="AG8" s="44">
        <f t="shared" si="9"/>
        <v>1</v>
      </c>
      <c r="AH8" s="45"/>
      <c r="AK8" s="46">
        <v>4</v>
      </c>
      <c r="AL8" s="47" t="s">
        <v>44</v>
      </c>
      <c r="AM8" s="49"/>
      <c r="AN8" s="46"/>
      <c r="AP8" s="46">
        <v>4</v>
      </c>
      <c r="AQ8" s="47" t="s">
        <v>71</v>
      </c>
      <c r="AR8" s="49"/>
      <c r="AS8" s="46"/>
      <c r="AU8" s="46">
        <v>4</v>
      </c>
      <c r="AV8" s="47" t="s">
        <v>72</v>
      </c>
      <c r="AW8" s="49"/>
      <c r="AX8" s="46"/>
      <c r="AZ8" s="46">
        <v>4</v>
      </c>
      <c r="BA8" s="47" t="s">
        <v>70</v>
      </c>
      <c r="BB8" s="49"/>
      <c r="BC8" s="46"/>
      <c r="BE8" s="46">
        <v>4</v>
      </c>
      <c r="BF8" s="47" t="s">
        <v>73</v>
      </c>
      <c r="BG8" s="49"/>
      <c r="BH8" s="46"/>
      <c r="BJ8" s="46">
        <v>4</v>
      </c>
      <c r="BK8" s="47" t="s">
        <v>74</v>
      </c>
      <c r="BL8" s="49"/>
      <c r="BM8" s="46"/>
      <c r="BO8" s="46">
        <v>4</v>
      </c>
      <c r="BP8" s="47" t="s">
        <v>75</v>
      </c>
      <c r="BQ8" s="49"/>
      <c r="BR8" s="46"/>
      <c r="BT8" s="46">
        <v>4</v>
      </c>
      <c r="BU8" s="47" t="s">
        <v>76</v>
      </c>
      <c r="BV8" s="49"/>
      <c r="BW8" s="46"/>
      <c r="BY8" s="46">
        <v>4</v>
      </c>
      <c r="BZ8" s="47" t="s">
        <v>77</v>
      </c>
      <c r="CA8" s="49"/>
      <c r="CB8" s="46"/>
      <c r="CD8" s="46">
        <v>4</v>
      </c>
      <c r="CE8" s="47" t="s">
        <v>78</v>
      </c>
      <c r="CF8" s="49"/>
      <c r="CG8" s="46"/>
      <c r="CI8" s="46">
        <v>4</v>
      </c>
      <c r="CJ8" s="47" t="s">
        <v>79</v>
      </c>
      <c r="CK8" s="49"/>
      <c r="CL8" s="46"/>
      <c r="CN8" s="46">
        <v>4</v>
      </c>
      <c r="CO8" s="47" t="s">
        <v>80</v>
      </c>
      <c r="CP8" s="49"/>
      <c r="CQ8" s="46"/>
    </row>
    <row r="9" spans="1:140" x14ac:dyDescent="0.3">
      <c r="A9" s="35" t="s">
        <v>68</v>
      </c>
      <c r="B9" s="36">
        <v>0.91666666666666663</v>
      </c>
      <c r="C9" s="37">
        <v>1</v>
      </c>
      <c r="D9" s="37" t="s">
        <v>56</v>
      </c>
      <c r="E9" s="38" t="s">
        <v>57</v>
      </c>
      <c r="F9" s="39" t="s">
        <v>30</v>
      </c>
      <c r="G9" s="40" t="s">
        <v>71</v>
      </c>
      <c r="H9" s="2"/>
      <c r="I9" s="41"/>
      <c r="J9" s="39" t="s">
        <v>30</v>
      </c>
      <c r="K9" s="42"/>
      <c r="L9" s="37" t="str">
        <f t="shared" si="0"/>
        <v>DRAW</v>
      </c>
      <c r="M9" s="43"/>
      <c r="N9" s="41"/>
      <c r="O9" s="39" t="s">
        <v>30</v>
      </c>
      <c r="P9" s="42"/>
      <c r="Q9" s="44" t="b">
        <f t="shared" si="1"/>
        <v>1</v>
      </c>
      <c r="R9" s="44" t="str">
        <f t="shared" si="2"/>
        <v>DRAW</v>
      </c>
      <c r="S9" s="44">
        <f t="shared" si="3"/>
        <v>1</v>
      </c>
      <c r="T9" s="2"/>
      <c r="U9" s="41">
        <v>1</v>
      </c>
      <c r="V9" s="39" t="s">
        <v>30</v>
      </c>
      <c r="W9" s="42">
        <v>3</v>
      </c>
      <c r="X9" s="44" t="b">
        <f t="shared" si="4"/>
        <v>0</v>
      </c>
      <c r="Y9" s="44" t="str">
        <f t="shared" si="5"/>
        <v>SWITZERLAND</v>
      </c>
      <c r="Z9" s="44">
        <f t="shared" si="6"/>
        <v>0</v>
      </c>
      <c r="AA9" s="2"/>
      <c r="AB9" s="41"/>
      <c r="AC9" s="39" t="s">
        <v>30</v>
      </c>
      <c r="AD9" s="42"/>
      <c r="AE9" s="44" t="b">
        <f t="shared" si="7"/>
        <v>1</v>
      </c>
      <c r="AF9" s="44" t="str">
        <f t="shared" si="8"/>
        <v>DRAW</v>
      </c>
      <c r="AG9" s="44">
        <f t="shared" si="9"/>
        <v>1</v>
      </c>
      <c r="AH9" s="45"/>
    </row>
    <row r="10" spans="1:140" x14ac:dyDescent="0.3">
      <c r="A10" s="35" t="s">
        <v>81</v>
      </c>
      <c r="B10" s="36">
        <v>4.1666666666666664E-2</v>
      </c>
      <c r="C10" s="37">
        <v>1</v>
      </c>
      <c r="D10" s="37" t="s">
        <v>82</v>
      </c>
      <c r="E10" s="38" t="s">
        <v>34</v>
      </c>
      <c r="F10" s="39" t="s">
        <v>30</v>
      </c>
      <c r="G10" s="40" t="s">
        <v>58</v>
      </c>
      <c r="H10" s="2"/>
      <c r="I10" s="41"/>
      <c r="J10" s="39" t="s">
        <v>30</v>
      </c>
      <c r="K10" s="42"/>
      <c r="L10" s="37" t="str">
        <f>IF(I10&gt;K10,E10,IF(K10&gt;I10,G10,"DRAW"))</f>
        <v>DRAW</v>
      </c>
      <c r="M10" s="43"/>
      <c r="N10" s="41"/>
      <c r="O10" s="39" t="s">
        <v>30</v>
      </c>
      <c r="P10" s="42"/>
      <c r="Q10" s="44" t="b">
        <f>AND(N10=$I10,P10=$K10)</f>
        <v>1</v>
      </c>
      <c r="R10" s="44" t="str">
        <f>IF(N10&gt;P10,$E10,IF(P10&gt;N10,$G10,"DRAW"))</f>
        <v>DRAW</v>
      </c>
      <c r="S10" s="44">
        <f>IF(R10=$L10,1,0)</f>
        <v>1</v>
      </c>
      <c r="T10" s="2"/>
      <c r="U10" s="41">
        <v>2</v>
      </c>
      <c r="V10" s="39" t="s">
        <v>30</v>
      </c>
      <c r="W10" s="42">
        <v>1</v>
      </c>
      <c r="X10" s="44" t="b">
        <f>AND(U10=$I10,W10=$K10)</f>
        <v>0</v>
      </c>
      <c r="Y10" s="44" t="str">
        <f>IF(U10&gt;W10,$E10,IF(W10&gt;U10,$G10,"DRAW"))</f>
        <v>BRAZIL</v>
      </c>
      <c r="Z10" s="44">
        <f>IF(Y10=$L10,1,0)</f>
        <v>0</v>
      </c>
      <c r="AA10" s="2"/>
      <c r="AB10" s="41"/>
      <c r="AC10" s="39" t="s">
        <v>30</v>
      </c>
      <c r="AD10" s="42"/>
      <c r="AE10" s="44" t="b">
        <f>AND(AB10=$I10,AD10=$K10)</f>
        <v>1</v>
      </c>
      <c r="AF10" s="44" t="str">
        <f>IF(AB10&gt;AD10,$E10,IF(AD10&gt;AB10,$G10,"DRAW"))</f>
        <v>DRAW</v>
      </c>
      <c r="AG10" s="44">
        <f>IF(AF10=$L10,1,0)</f>
        <v>1</v>
      </c>
      <c r="AH10" s="45"/>
      <c r="AK10" s="57" t="s">
        <v>83</v>
      </c>
      <c r="AL10" s="58"/>
      <c r="AM10" s="58"/>
      <c r="AN10" s="59"/>
      <c r="AP10" s="57" t="s">
        <v>83</v>
      </c>
      <c r="AQ10" s="58"/>
      <c r="AR10" s="58"/>
      <c r="AS10" s="59"/>
      <c r="AU10" s="57" t="s">
        <v>83</v>
      </c>
      <c r="AV10" s="58"/>
      <c r="AW10" s="58"/>
      <c r="AX10" s="59"/>
      <c r="AZ10" s="57" t="s">
        <v>83</v>
      </c>
      <c r="BA10" s="58"/>
      <c r="BB10" s="58"/>
      <c r="BC10" s="59"/>
      <c r="BE10" s="57" t="s">
        <v>83</v>
      </c>
      <c r="BF10" s="58"/>
      <c r="BG10" s="58"/>
      <c r="BH10" s="59"/>
      <c r="BJ10" s="57" t="s">
        <v>83</v>
      </c>
      <c r="BK10" s="58"/>
      <c r="BL10" s="58"/>
      <c r="BM10" s="59"/>
      <c r="BO10" s="57" t="s">
        <v>83</v>
      </c>
      <c r="BP10" s="58"/>
      <c r="BQ10" s="58"/>
      <c r="BR10" s="59"/>
      <c r="BT10" s="57" t="s">
        <v>83</v>
      </c>
      <c r="BU10" s="58"/>
      <c r="BV10" s="58"/>
      <c r="BW10" s="59"/>
      <c r="BY10" s="57" t="s">
        <v>83</v>
      </c>
      <c r="BZ10" s="58"/>
      <c r="CA10" s="58"/>
      <c r="CB10" s="59"/>
      <c r="CD10" s="57" t="s">
        <v>83</v>
      </c>
      <c r="CE10" s="58"/>
      <c r="CF10" s="58"/>
      <c r="CG10" s="59"/>
      <c r="CI10" s="57" t="s">
        <v>83</v>
      </c>
      <c r="CJ10" s="58"/>
      <c r="CK10" s="58"/>
      <c r="CL10" s="59"/>
      <c r="CN10" s="57" t="s">
        <v>83</v>
      </c>
      <c r="CO10" s="58"/>
      <c r="CP10" s="58"/>
      <c r="CQ10" s="59"/>
      <c r="CV10" s="60" t="s">
        <v>84</v>
      </c>
      <c r="DA10" s="60" t="s">
        <v>84</v>
      </c>
      <c r="DF10" s="60" t="s">
        <v>84</v>
      </c>
      <c r="DK10" s="60" t="s">
        <v>84</v>
      </c>
      <c r="DP10" s="60" t="s">
        <v>84</v>
      </c>
      <c r="DU10" s="60" t="s">
        <v>84</v>
      </c>
      <c r="DZ10" s="60" t="s">
        <v>84</v>
      </c>
      <c r="EE10" s="60" t="s">
        <v>84</v>
      </c>
      <c r="EJ10" s="60" t="s">
        <v>85</v>
      </c>
    </row>
    <row r="11" spans="1:140" x14ac:dyDescent="0.3">
      <c r="A11" s="35" t="s">
        <v>81</v>
      </c>
      <c r="B11" s="36">
        <v>0.16666666666666666</v>
      </c>
      <c r="C11" s="37">
        <v>1</v>
      </c>
      <c r="D11" s="37" t="s">
        <v>82</v>
      </c>
      <c r="E11" s="38" t="s">
        <v>46</v>
      </c>
      <c r="F11" s="39" t="s">
        <v>30</v>
      </c>
      <c r="G11" s="40" t="s">
        <v>72</v>
      </c>
      <c r="H11" s="2"/>
      <c r="I11" s="41"/>
      <c r="J11" s="39" t="s">
        <v>30</v>
      </c>
      <c r="K11" s="42"/>
      <c r="L11" s="37" t="str">
        <f t="shared" si="0"/>
        <v>DRAW</v>
      </c>
      <c r="M11" s="43"/>
      <c r="N11" s="41"/>
      <c r="O11" s="39" t="s">
        <v>30</v>
      </c>
      <c r="P11" s="42"/>
      <c r="Q11" s="44" t="b">
        <f t="shared" si="1"/>
        <v>1</v>
      </c>
      <c r="R11" s="44" t="str">
        <f t="shared" si="2"/>
        <v>DRAW</v>
      </c>
      <c r="S11" s="44">
        <f t="shared" si="3"/>
        <v>1</v>
      </c>
      <c r="T11" s="2"/>
      <c r="U11" s="41">
        <v>0</v>
      </c>
      <c r="V11" s="39" t="s">
        <v>30</v>
      </c>
      <c r="W11" s="42">
        <v>2</v>
      </c>
      <c r="X11" s="44" t="b">
        <f t="shared" si="4"/>
        <v>0</v>
      </c>
      <c r="Y11" s="44" t="str">
        <f t="shared" si="5"/>
        <v>SCOTLAND</v>
      </c>
      <c r="Z11" s="44">
        <f t="shared" si="6"/>
        <v>0</v>
      </c>
      <c r="AA11" s="2"/>
      <c r="AB11" s="41"/>
      <c r="AC11" s="39" t="s">
        <v>30</v>
      </c>
      <c r="AD11" s="42"/>
      <c r="AE11" s="44" t="b">
        <f t="shared" si="7"/>
        <v>1</v>
      </c>
      <c r="AF11" s="44" t="str">
        <f t="shared" si="8"/>
        <v>DRAW</v>
      </c>
      <c r="AG11" s="44">
        <f t="shared" si="9"/>
        <v>1</v>
      </c>
      <c r="AH11" s="45"/>
      <c r="AK11" s="46">
        <v>1</v>
      </c>
      <c r="AL11" s="61"/>
      <c r="AM11" s="46"/>
      <c r="AN11" s="48">
        <f>IF(AL11=AL$5,1,0)</f>
        <v>0</v>
      </c>
      <c r="AP11" s="46">
        <v>1</v>
      </c>
      <c r="AQ11" s="61"/>
      <c r="AR11" s="46"/>
      <c r="AS11" s="48">
        <f>IF(AQ11=AQ$5,1,0)</f>
        <v>0</v>
      </c>
      <c r="AU11" s="46">
        <v>1</v>
      </c>
      <c r="AV11" s="61"/>
      <c r="AW11" s="46"/>
      <c r="AX11" s="48">
        <f>IF(AV11=AV$5,1,0)</f>
        <v>0</v>
      </c>
      <c r="AZ11" s="46">
        <v>1</v>
      </c>
      <c r="BA11" s="61"/>
      <c r="BB11" s="46"/>
      <c r="BC11" s="48">
        <f>IF(BA11=BA$5,1,0)</f>
        <v>0</v>
      </c>
      <c r="BE11" s="46">
        <v>1</v>
      </c>
      <c r="BF11" s="61"/>
      <c r="BG11" s="46"/>
      <c r="BH11" s="48">
        <f>IF(BF11=BF$5,1,0)</f>
        <v>0</v>
      </c>
      <c r="BJ11" s="46">
        <v>1</v>
      </c>
      <c r="BK11" s="61"/>
      <c r="BL11" s="46"/>
      <c r="BM11" s="48">
        <f>IF(BK11=BK$5,1,0)</f>
        <v>0</v>
      </c>
      <c r="BO11" s="46">
        <v>1</v>
      </c>
      <c r="BP11" s="61"/>
      <c r="BQ11" s="46"/>
      <c r="BR11" s="48">
        <f>IF(BP11=BP$5,1,0)</f>
        <v>0</v>
      </c>
      <c r="BT11" s="46">
        <v>1</v>
      </c>
      <c r="BU11" s="61"/>
      <c r="BV11" s="46"/>
      <c r="BW11" s="48">
        <f>IF(BU11=BU$5,1,0)</f>
        <v>0</v>
      </c>
      <c r="BY11" s="46">
        <v>1</v>
      </c>
      <c r="BZ11" s="61"/>
      <c r="CA11" s="46"/>
      <c r="CB11" s="48">
        <f>IF(BZ11=BZ$5,1,0)</f>
        <v>0</v>
      </c>
      <c r="CD11" s="46">
        <v>1</v>
      </c>
      <c r="CE11" s="61"/>
      <c r="CF11" s="46"/>
      <c r="CG11" s="48">
        <f>IF(CE11=CE$5,1,0)</f>
        <v>0</v>
      </c>
      <c r="CI11" s="46">
        <v>1</v>
      </c>
      <c r="CJ11" s="61"/>
      <c r="CK11" s="46"/>
      <c r="CL11" s="48">
        <f>IF(CJ11=CJ$5,1,0)</f>
        <v>0</v>
      </c>
      <c r="CN11" s="46">
        <v>1</v>
      </c>
      <c r="CO11" s="61"/>
      <c r="CP11" s="46"/>
      <c r="CQ11" s="48">
        <f>IF(CO11=CO$5,1,0)</f>
        <v>0</v>
      </c>
      <c r="CS11" s="62"/>
      <c r="CT11" s="63" t="s">
        <v>30</v>
      </c>
      <c r="CU11" s="64"/>
      <c r="CV11" s="48"/>
      <c r="CX11" s="62"/>
      <c r="CY11" s="63" t="s">
        <v>30</v>
      </c>
      <c r="CZ11" s="64"/>
      <c r="DA11" s="48"/>
      <c r="DC11" s="62"/>
      <c r="DD11" s="63" t="s">
        <v>30</v>
      </c>
      <c r="DE11" s="64"/>
      <c r="DF11" s="48"/>
      <c r="DH11" s="62"/>
      <c r="DI11" s="63" t="s">
        <v>30</v>
      </c>
      <c r="DJ11" s="64"/>
      <c r="DK11" s="48"/>
      <c r="DM11" s="62"/>
      <c r="DN11" s="63" t="s">
        <v>30</v>
      </c>
      <c r="DO11" s="64"/>
      <c r="DP11" s="48"/>
      <c r="DR11" s="62"/>
      <c r="DS11" s="63" t="s">
        <v>30</v>
      </c>
      <c r="DT11" s="64"/>
      <c r="DU11" s="48"/>
      <c r="DW11" s="62">
        <f>DP11</f>
        <v>0</v>
      </c>
      <c r="DX11" s="63" t="s">
        <v>30</v>
      </c>
      <c r="DY11" s="64">
        <f>DP12</f>
        <v>0</v>
      </c>
      <c r="DZ11" s="48"/>
      <c r="EB11" s="62">
        <f>DZ11</f>
        <v>0</v>
      </c>
      <c r="EC11" s="63" t="s">
        <v>30</v>
      </c>
      <c r="ED11" s="64">
        <f>DZ12</f>
        <v>0</v>
      </c>
      <c r="EE11" s="48"/>
      <c r="EG11" s="62">
        <f>EE11</f>
        <v>0</v>
      </c>
      <c r="EH11" s="63" t="s">
        <v>30</v>
      </c>
      <c r="EI11" s="64">
        <f>EE12</f>
        <v>0</v>
      </c>
      <c r="EJ11" s="48"/>
    </row>
    <row r="12" spans="1:140" ht="14.95" thickBot="1" x14ac:dyDescent="0.35">
      <c r="A12" s="35" t="s">
        <v>81</v>
      </c>
      <c r="B12" s="36">
        <v>0.29166666666666669</v>
      </c>
      <c r="C12" s="37">
        <v>1</v>
      </c>
      <c r="D12" s="37" t="s">
        <v>69</v>
      </c>
      <c r="E12" s="38" t="s">
        <v>35</v>
      </c>
      <c r="F12" s="39" t="s">
        <v>30</v>
      </c>
      <c r="G12" s="40" t="s">
        <v>59</v>
      </c>
      <c r="H12" s="2"/>
      <c r="I12" s="41"/>
      <c r="J12" s="39" t="s">
        <v>30</v>
      </c>
      <c r="K12" s="42"/>
      <c r="L12" s="37" t="str">
        <f t="shared" si="0"/>
        <v>DRAW</v>
      </c>
      <c r="M12" s="43"/>
      <c r="N12" s="41"/>
      <c r="O12" s="39" t="s">
        <v>30</v>
      </c>
      <c r="P12" s="42"/>
      <c r="Q12" s="44" t="b">
        <f t="shared" si="1"/>
        <v>1</v>
      </c>
      <c r="R12" s="44" t="str">
        <f t="shared" si="2"/>
        <v>DRAW</v>
      </c>
      <c r="S12" s="44">
        <f t="shared" si="3"/>
        <v>1</v>
      </c>
      <c r="T12" s="2"/>
      <c r="U12" s="41">
        <v>0</v>
      </c>
      <c r="V12" s="39" t="s">
        <v>30</v>
      </c>
      <c r="W12" s="42">
        <v>2</v>
      </c>
      <c r="X12" s="44" t="b">
        <f t="shared" si="4"/>
        <v>0</v>
      </c>
      <c r="Y12" s="44" t="str">
        <f t="shared" si="5"/>
        <v>TURKIYE</v>
      </c>
      <c r="Z12" s="44">
        <f t="shared" si="6"/>
        <v>0</v>
      </c>
      <c r="AA12" s="2"/>
      <c r="AB12" s="41"/>
      <c r="AC12" s="39" t="s">
        <v>30</v>
      </c>
      <c r="AD12" s="42"/>
      <c r="AE12" s="44" t="b">
        <f t="shared" si="7"/>
        <v>1</v>
      </c>
      <c r="AF12" s="44" t="str">
        <f t="shared" si="8"/>
        <v>DRAW</v>
      </c>
      <c r="AG12" s="44">
        <f t="shared" si="9"/>
        <v>1</v>
      </c>
      <c r="AH12" s="45"/>
      <c r="AK12" s="53">
        <v>2</v>
      </c>
      <c r="AL12" s="65"/>
      <c r="AM12" s="53"/>
      <c r="AN12" s="53">
        <f>IF(AL12=AL$6,1,0)</f>
        <v>0</v>
      </c>
      <c r="AP12" s="53">
        <v>2</v>
      </c>
      <c r="AQ12" s="65"/>
      <c r="AR12" s="53"/>
      <c r="AS12" s="53">
        <f>IF(AQ12=AQ$6,1,0)</f>
        <v>0</v>
      </c>
      <c r="AU12" s="53">
        <v>2</v>
      </c>
      <c r="AV12" s="65"/>
      <c r="AW12" s="53"/>
      <c r="AX12" s="53">
        <f>IF(AV12=AV$6,1,0)</f>
        <v>0</v>
      </c>
      <c r="AZ12" s="53">
        <v>2</v>
      </c>
      <c r="BA12" s="65"/>
      <c r="BB12" s="53"/>
      <c r="BC12" s="53">
        <f>IF(BA12=BA$6,1,0)</f>
        <v>0</v>
      </c>
      <c r="BE12" s="53">
        <v>2</v>
      </c>
      <c r="BF12" s="65"/>
      <c r="BG12" s="53"/>
      <c r="BH12" s="53">
        <f>IF(BF12=BF$6,1,0)</f>
        <v>0</v>
      </c>
      <c r="BJ12" s="53">
        <v>2</v>
      </c>
      <c r="BK12" s="65"/>
      <c r="BL12" s="53"/>
      <c r="BM12" s="53">
        <f>IF(BK12=BK$6,1,0)</f>
        <v>0</v>
      </c>
      <c r="BO12" s="53">
        <v>2</v>
      </c>
      <c r="BP12" s="65"/>
      <c r="BQ12" s="53"/>
      <c r="BR12" s="53">
        <f>IF(BP12=BP$6,1,0)</f>
        <v>0</v>
      </c>
      <c r="BT12" s="53">
        <v>2</v>
      </c>
      <c r="BU12" s="65"/>
      <c r="BV12" s="53"/>
      <c r="BW12" s="53">
        <f>IF(BU12=BU$6,1,0)</f>
        <v>0</v>
      </c>
      <c r="BY12" s="53">
        <v>2</v>
      </c>
      <c r="BZ12" s="65"/>
      <c r="CA12" s="53"/>
      <c r="CB12" s="53">
        <f>IF(BZ12=BZ$6,1,0)</f>
        <v>0</v>
      </c>
      <c r="CD12" s="53">
        <v>2</v>
      </c>
      <c r="CE12" s="65"/>
      <c r="CF12" s="53"/>
      <c r="CG12" s="53">
        <f>IF(CE12=CE$6,1,0)</f>
        <v>0</v>
      </c>
      <c r="CI12" s="53">
        <v>2</v>
      </c>
      <c r="CJ12" s="65"/>
      <c r="CK12" s="53"/>
      <c r="CL12" s="53">
        <f>IF(CJ12=CJ$6,1,0)</f>
        <v>0</v>
      </c>
      <c r="CN12" s="53">
        <v>2</v>
      </c>
      <c r="CO12" s="65"/>
      <c r="CP12" s="53"/>
      <c r="CQ12" s="53">
        <f>IF(CO12=CO$6,1,0)</f>
        <v>0</v>
      </c>
      <c r="CS12" s="62"/>
      <c r="CT12" s="63" t="s">
        <v>30</v>
      </c>
      <c r="CU12" s="64"/>
      <c r="CV12" s="48"/>
      <c r="CX12" s="62"/>
      <c r="CY12" s="63" t="s">
        <v>30</v>
      </c>
      <c r="CZ12" s="64"/>
      <c r="DA12" s="48"/>
      <c r="DC12" s="62"/>
      <c r="DD12" s="63" t="s">
        <v>30</v>
      </c>
      <c r="DE12" s="64"/>
      <c r="DF12" s="48"/>
      <c r="DH12" s="62"/>
      <c r="DI12" s="63" t="s">
        <v>30</v>
      </c>
      <c r="DJ12" s="64"/>
      <c r="DK12" s="48"/>
      <c r="DM12" s="62"/>
      <c r="DN12" s="63" t="s">
        <v>30</v>
      </c>
      <c r="DO12" s="64"/>
      <c r="DP12" s="48"/>
      <c r="DR12" s="62"/>
      <c r="DS12" s="63" t="s">
        <v>30</v>
      </c>
      <c r="DT12" s="64"/>
      <c r="DU12" s="48"/>
      <c r="DW12" s="62">
        <f>DP13</f>
        <v>0</v>
      </c>
      <c r="DX12" s="63" t="s">
        <v>30</v>
      </c>
      <c r="DY12" s="64">
        <f>DP14</f>
        <v>0</v>
      </c>
      <c r="DZ12" s="48"/>
      <c r="EB12" s="62">
        <f>DZ13</f>
        <v>0</v>
      </c>
      <c r="EC12" s="63" t="s">
        <v>30</v>
      </c>
      <c r="ED12" s="64">
        <f>DZ14</f>
        <v>0</v>
      </c>
      <c r="EE12" s="48"/>
      <c r="EG12" s="62">
        <f>IF(EB11=EE11,ED11,EB11)</f>
        <v>0</v>
      </c>
      <c r="EH12" s="63" t="s">
        <v>30</v>
      </c>
      <c r="EI12" s="64">
        <f>IF(EB12=EE12,ED12,EB12)</f>
        <v>0</v>
      </c>
      <c r="EJ12" s="48"/>
    </row>
    <row r="13" spans="1:140" x14ac:dyDescent="0.3">
      <c r="A13" s="35" t="s">
        <v>81</v>
      </c>
      <c r="B13" s="36">
        <v>0.83333333333333337</v>
      </c>
      <c r="C13" s="37">
        <v>1</v>
      </c>
      <c r="D13" s="37" t="s">
        <v>86</v>
      </c>
      <c r="E13" s="38" t="s">
        <v>73</v>
      </c>
      <c r="F13" s="39" t="s">
        <v>30</v>
      </c>
      <c r="G13" s="40" t="s">
        <v>48</v>
      </c>
      <c r="H13" s="2"/>
      <c r="I13" s="41"/>
      <c r="J13" s="39" t="s">
        <v>30</v>
      </c>
      <c r="K13" s="42"/>
      <c r="L13" s="37" t="str">
        <f>IF(I13&gt;K13,E13,IF(K13&gt;I13,G13,"DRAW"))</f>
        <v>DRAW</v>
      </c>
      <c r="M13" s="43"/>
      <c r="N13" s="41"/>
      <c r="O13" s="39" t="s">
        <v>30</v>
      </c>
      <c r="P13" s="42"/>
      <c r="Q13" s="44" t="b">
        <f>AND(N13=$I13,P13=$K13)</f>
        <v>1</v>
      </c>
      <c r="R13" s="44" t="str">
        <f>IF(N13&gt;P13,$E13,IF(P13&gt;N13,$G13,"DRAW"))</f>
        <v>DRAW</v>
      </c>
      <c r="S13" s="44">
        <f>IF(R13=$L13,1,0)</f>
        <v>1</v>
      </c>
      <c r="T13" s="2"/>
      <c r="U13" s="41">
        <v>4</v>
      </c>
      <c r="V13" s="39" t="s">
        <v>30</v>
      </c>
      <c r="W13" s="42">
        <v>0</v>
      </c>
      <c r="X13" s="44" t="b">
        <f>AND(U13=$I13,W13=$K13)</f>
        <v>0</v>
      </c>
      <c r="Y13" s="44" t="str">
        <f>IF(U13&gt;W13,$E13,IF(W13&gt;U13,$G13,"DRAW"))</f>
        <v>GERMANY</v>
      </c>
      <c r="Z13" s="44">
        <f>IF(Y13=$L13,1,0)</f>
        <v>0</v>
      </c>
      <c r="AA13" s="2"/>
      <c r="AB13" s="41"/>
      <c r="AC13" s="39" t="s">
        <v>30</v>
      </c>
      <c r="AD13" s="42"/>
      <c r="AE13" s="44" t="b">
        <f>AND(AB13=$I13,AD13=$K13)</f>
        <v>1</v>
      </c>
      <c r="AF13" s="44" t="str">
        <f>IF(AB13&gt;AD13,$E13,IF(AD13&gt;AB13,$G13,"DRAW"))</f>
        <v>DRAW</v>
      </c>
      <c r="AG13" s="44">
        <f>IF(AF13=$L13,1,0)</f>
        <v>1</v>
      </c>
      <c r="AH13" s="45"/>
      <c r="AK13" s="54">
        <v>3</v>
      </c>
      <c r="AL13" s="66"/>
      <c r="AM13" s="54"/>
      <c r="AN13" s="54">
        <f>IF(AL13=AL$7,1,0)</f>
        <v>0</v>
      </c>
      <c r="AP13" s="54">
        <v>3</v>
      </c>
      <c r="AQ13" s="66"/>
      <c r="AR13" s="54"/>
      <c r="AS13" s="54">
        <f>IF(AQ13=AQ$7,1,0)</f>
        <v>0</v>
      </c>
      <c r="AU13" s="54">
        <v>3</v>
      </c>
      <c r="AV13" s="66"/>
      <c r="AW13" s="54"/>
      <c r="AX13" s="54">
        <f>IF(AV13=AV$7,1,0)</f>
        <v>0</v>
      </c>
      <c r="AZ13" s="54">
        <v>3</v>
      </c>
      <c r="BA13" s="66"/>
      <c r="BB13" s="54"/>
      <c r="BC13" s="54">
        <f>IF(BA13=BA$7,1,0)</f>
        <v>0</v>
      </c>
      <c r="BE13" s="54">
        <v>3</v>
      </c>
      <c r="BF13" s="66"/>
      <c r="BG13" s="54"/>
      <c r="BH13" s="54">
        <f>IF(BF13=BF$7,1,0)</f>
        <v>0</v>
      </c>
      <c r="BJ13" s="54">
        <v>3</v>
      </c>
      <c r="BK13" s="66"/>
      <c r="BL13" s="54"/>
      <c r="BM13" s="54">
        <f>IF(BK13=BK$7,1,0)</f>
        <v>0</v>
      </c>
      <c r="BO13" s="54">
        <v>3</v>
      </c>
      <c r="BP13" s="66"/>
      <c r="BQ13" s="54"/>
      <c r="BR13" s="54">
        <f>IF(BP13=BP$7,1,0)</f>
        <v>0</v>
      </c>
      <c r="BT13" s="54">
        <v>3</v>
      </c>
      <c r="BU13" s="66"/>
      <c r="BV13" s="54"/>
      <c r="BW13" s="54">
        <f>IF(BU13=BU$7,1,0)</f>
        <v>0</v>
      </c>
      <c r="BY13" s="54">
        <v>3</v>
      </c>
      <c r="BZ13" s="66"/>
      <c r="CA13" s="54"/>
      <c r="CB13" s="54">
        <f>IF(BZ13=BZ$7,1,0)</f>
        <v>0</v>
      </c>
      <c r="CD13" s="54">
        <v>3</v>
      </c>
      <c r="CE13" s="66"/>
      <c r="CF13" s="54"/>
      <c r="CG13" s="54">
        <f>IF(CE13=CE$7,1,0)</f>
        <v>0</v>
      </c>
      <c r="CI13" s="54">
        <v>3</v>
      </c>
      <c r="CJ13" s="66"/>
      <c r="CK13" s="54"/>
      <c r="CL13" s="54">
        <f>IF(CJ13=CJ$7,1,0)</f>
        <v>0</v>
      </c>
      <c r="CN13" s="54">
        <v>3</v>
      </c>
      <c r="CO13" s="66"/>
      <c r="CP13" s="54"/>
      <c r="CQ13" s="54">
        <f>IF(CO13=CO$7,1,0)</f>
        <v>0</v>
      </c>
      <c r="CS13" s="62"/>
      <c r="CT13" s="63" t="s">
        <v>30</v>
      </c>
      <c r="CU13" s="64"/>
      <c r="CV13" s="48"/>
      <c r="CX13" s="62"/>
      <c r="CY13" s="63" t="s">
        <v>30</v>
      </c>
      <c r="CZ13" s="64"/>
      <c r="DA13" s="48"/>
      <c r="DC13" s="62"/>
      <c r="DD13" s="63" t="s">
        <v>30</v>
      </c>
      <c r="DE13" s="64"/>
      <c r="DF13" s="48"/>
      <c r="DH13" s="62"/>
      <c r="DI13" s="63" t="s">
        <v>30</v>
      </c>
      <c r="DJ13" s="64"/>
      <c r="DK13" s="48"/>
      <c r="DM13" s="62"/>
      <c r="DN13" s="63" t="s">
        <v>30</v>
      </c>
      <c r="DO13" s="64"/>
      <c r="DP13" s="48"/>
      <c r="DR13" s="62"/>
      <c r="DS13" s="63" t="s">
        <v>30</v>
      </c>
      <c r="DT13" s="64"/>
      <c r="DU13" s="48"/>
      <c r="DW13" s="62">
        <f>DU11</f>
        <v>0</v>
      </c>
      <c r="DX13" s="63" t="s">
        <v>30</v>
      </c>
      <c r="DY13" s="64">
        <f>DU12</f>
        <v>0</v>
      </c>
      <c r="DZ13" s="48"/>
    </row>
    <row r="14" spans="1:140" x14ac:dyDescent="0.3">
      <c r="A14" s="35" t="s">
        <v>81</v>
      </c>
      <c r="B14" s="36">
        <v>0.95833333333333337</v>
      </c>
      <c r="C14" s="37">
        <v>1</v>
      </c>
      <c r="D14" s="37" t="s">
        <v>87</v>
      </c>
      <c r="E14" s="38" t="s">
        <v>49</v>
      </c>
      <c r="F14" s="39" t="s">
        <v>30</v>
      </c>
      <c r="G14" s="40" t="s">
        <v>37</v>
      </c>
      <c r="H14" s="2"/>
      <c r="I14" s="41"/>
      <c r="J14" s="39" t="s">
        <v>30</v>
      </c>
      <c r="K14" s="42"/>
      <c r="L14" s="37" t="str">
        <f t="shared" si="0"/>
        <v>DRAW</v>
      </c>
      <c r="M14" s="43"/>
      <c r="N14" s="41"/>
      <c r="O14" s="39" t="s">
        <v>30</v>
      </c>
      <c r="P14" s="42"/>
      <c r="Q14" s="44" t="b">
        <f t="shared" si="1"/>
        <v>1</v>
      </c>
      <c r="R14" s="44" t="str">
        <f t="shared" si="2"/>
        <v>DRAW</v>
      </c>
      <c r="S14" s="44">
        <f t="shared" si="3"/>
        <v>1</v>
      </c>
      <c r="T14" s="2"/>
      <c r="U14" s="41">
        <v>3</v>
      </c>
      <c r="V14" s="39" t="s">
        <v>30</v>
      </c>
      <c r="W14" s="42">
        <v>1</v>
      </c>
      <c r="X14" s="44" t="b">
        <f t="shared" si="4"/>
        <v>0</v>
      </c>
      <c r="Y14" s="44" t="str">
        <f t="shared" si="5"/>
        <v>NETHERLANDS</v>
      </c>
      <c r="Z14" s="44">
        <f t="shared" si="6"/>
        <v>0</v>
      </c>
      <c r="AA14" s="2"/>
      <c r="AB14" s="41"/>
      <c r="AC14" s="39" t="s">
        <v>30</v>
      </c>
      <c r="AD14" s="42"/>
      <c r="AE14" s="44" t="b">
        <f t="shared" si="7"/>
        <v>1</v>
      </c>
      <c r="AF14" s="44" t="str">
        <f t="shared" si="8"/>
        <v>DRAW</v>
      </c>
      <c r="AG14" s="44">
        <f t="shared" si="9"/>
        <v>1</v>
      </c>
      <c r="AH14" s="45"/>
      <c r="AK14" s="46">
        <v>4</v>
      </c>
      <c r="AL14" s="61"/>
      <c r="AM14" s="46"/>
      <c r="AN14" s="46">
        <f>IF(AL14=AL$8,1,0)</f>
        <v>0</v>
      </c>
      <c r="AP14" s="46">
        <v>4</v>
      </c>
      <c r="AQ14" s="61"/>
      <c r="AR14" s="46"/>
      <c r="AS14" s="46">
        <f>IF(AQ14=AQ$8,1,0)</f>
        <v>0</v>
      </c>
      <c r="AU14" s="46">
        <v>4</v>
      </c>
      <c r="AV14" s="61"/>
      <c r="AW14" s="46"/>
      <c r="AX14" s="46">
        <f>IF(AV14=AV$8,1,0)</f>
        <v>0</v>
      </c>
      <c r="AZ14" s="46">
        <v>4</v>
      </c>
      <c r="BA14" s="61"/>
      <c r="BB14" s="46"/>
      <c r="BC14" s="46">
        <f>IF(BA14=BA$8,1,0)</f>
        <v>0</v>
      </c>
      <c r="BE14" s="46">
        <v>4</v>
      </c>
      <c r="BF14" s="61"/>
      <c r="BG14" s="46"/>
      <c r="BH14" s="46">
        <f>IF(BF14=BF$8,1,0)</f>
        <v>0</v>
      </c>
      <c r="BJ14" s="46">
        <v>4</v>
      </c>
      <c r="BK14" s="61"/>
      <c r="BL14" s="46"/>
      <c r="BM14" s="46">
        <f>IF(BK14=BK$8,1,0)</f>
        <v>0</v>
      </c>
      <c r="BO14" s="46">
        <v>4</v>
      </c>
      <c r="BP14" s="61"/>
      <c r="BQ14" s="46"/>
      <c r="BR14" s="46">
        <f>IF(BP14=BP$8,1,0)</f>
        <v>0</v>
      </c>
      <c r="BT14" s="46">
        <v>4</v>
      </c>
      <c r="BU14" s="61"/>
      <c r="BV14" s="46"/>
      <c r="BW14" s="46">
        <f>IF(BU14=BU$8,1,0)</f>
        <v>0</v>
      </c>
      <c r="BY14" s="46">
        <v>4</v>
      </c>
      <c r="BZ14" s="61"/>
      <c r="CA14" s="46"/>
      <c r="CB14" s="46">
        <f>IF(BZ14=BZ$8,1,0)</f>
        <v>0</v>
      </c>
      <c r="CD14" s="46">
        <v>4</v>
      </c>
      <c r="CE14" s="61"/>
      <c r="CF14" s="46"/>
      <c r="CG14" s="46">
        <f>IF(CE14=CE$8,1,0)</f>
        <v>0</v>
      </c>
      <c r="CI14" s="46">
        <v>4</v>
      </c>
      <c r="CJ14" s="61"/>
      <c r="CK14" s="46"/>
      <c r="CL14" s="46">
        <f>IF(CJ14=CJ$8,1,0)</f>
        <v>0</v>
      </c>
      <c r="CN14" s="46">
        <v>4</v>
      </c>
      <c r="CO14" s="61"/>
      <c r="CP14" s="46"/>
      <c r="CQ14" s="46">
        <f>IF(CO14=CO$8,1,0)</f>
        <v>0</v>
      </c>
      <c r="CS14" s="62"/>
      <c r="CT14" s="63" t="s">
        <v>30</v>
      </c>
      <c r="CU14" s="64"/>
      <c r="CV14" s="48"/>
      <c r="CX14" s="62"/>
      <c r="CY14" s="63" t="s">
        <v>30</v>
      </c>
      <c r="CZ14" s="64"/>
      <c r="DA14" s="48"/>
      <c r="DC14" s="62"/>
      <c r="DD14" s="63" t="s">
        <v>30</v>
      </c>
      <c r="DE14" s="64"/>
      <c r="DF14" s="48"/>
      <c r="DH14" s="62"/>
      <c r="DI14" s="63" t="s">
        <v>30</v>
      </c>
      <c r="DJ14" s="64"/>
      <c r="DK14" s="48"/>
      <c r="DM14" s="62"/>
      <c r="DN14" s="63" t="s">
        <v>30</v>
      </c>
      <c r="DO14" s="64"/>
      <c r="DP14" s="48"/>
      <c r="DR14" s="62"/>
      <c r="DS14" s="63" t="s">
        <v>30</v>
      </c>
      <c r="DT14" s="64"/>
      <c r="DU14" s="48"/>
      <c r="DW14" s="62">
        <f>DU13</f>
        <v>0</v>
      </c>
      <c r="DX14" s="63" t="s">
        <v>30</v>
      </c>
      <c r="DY14" s="64">
        <f>DU14</f>
        <v>0</v>
      </c>
      <c r="DZ14" s="48"/>
    </row>
    <row r="15" spans="1:140" x14ac:dyDescent="0.3">
      <c r="A15" s="35" t="s">
        <v>88</v>
      </c>
      <c r="B15" s="36">
        <v>8.3333333333333329E-2</v>
      </c>
      <c r="C15" s="37">
        <v>1</v>
      </c>
      <c r="D15" s="37" t="s">
        <v>86</v>
      </c>
      <c r="E15" s="38" t="s">
        <v>36</v>
      </c>
      <c r="F15" s="39" t="s">
        <v>30</v>
      </c>
      <c r="G15" s="40" t="s">
        <v>60</v>
      </c>
      <c r="H15" s="2"/>
      <c r="I15" s="41"/>
      <c r="J15" s="39" t="s">
        <v>30</v>
      </c>
      <c r="K15" s="42"/>
      <c r="L15" s="37" t="str">
        <f t="shared" si="0"/>
        <v>DRAW</v>
      </c>
      <c r="M15" s="43"/>
      <c r="N15" s="41"/>
      <c r="O15" s="39" t="s">
        <v>30</v>
      </c>
      <c r="P15" s="42"/>
      <c r="Q15" s="44" t="b">
        <f t="shared" si="1"/>
        <v>1</v>
      </c>
      <c r="R15" s="44" t="str">
        <f t="shared" si="2"/>
        <v>DRAW</v>
      </c>
      <c r="S15" s="44">
        <f t="shared" si="3"/>
        <v>1</v>
      </c>
      <c r="T15" s="2"/>
      <c r="U15" s="41">
        <v>0</v>
      </c>
      <c r="V15" s="39" t="s">
        <v>30</v>
      </c>
      <c r="W15" s="42">
        <v>1</v>
      </c>
      <c r="X15" s="44" t="b">
        <f t="shared" si="4"/>
        <v>0</v>
      </c>
      <c r="Y15" s="44" t="str">
        <f t="shared" si="5"/>
        <v>ECUADOR</v>
      </c>
      <c r="Z15" s="44">
        <f t="shared" si="6"/>
        <v>0</v>
      </c>
      <c r="AA15" s="2"/>
      <c r="AB15" s="41"/>
      <c r="AC15" s="39" t="s">
        <v>30</v>
      </c>
      <c r="AD15" s="42"/>
      <c r="AE15" s="44" t="b">
        <f t="shared" si="7"/>
        <v>1</v>
      </c>
      <c r="AF15" s="44" t="str">
        <f t="shared" si="8"/>
        <v>DRAW</v>
      </c>
      <c r="AG15" s="44">
        <f t="shared" si="9"/>
        <v>1</v>
      </c>
      <c r="AH15" s="45"/>
    </row>
    <row r="16" spans="1:140" x14ac:dyDescent="0.3">
      <c r="A16" s="35" t="s">
        <v>88</v>
      </c>
      <c r="B16" s="36">
        <v>0.20833333333333334</v>
      </c>
      <c r="C16" s="37">
        <v>1</v>
      </c>
      <c r="D16" s="37" t="s">
        <v>87</v>
      </c>
      <c r="E16" s="38" t="s">
        <v>61</v>
      </c>
      <c r="F16" s="39" t="s">
        <v>30</v>
      </c>
      <c r="G16" s="40" t="s">
        <v>74</v>
      </c>
      <c r="H16" s="2"/>
      <c r="I16" s="41"/>
      <c r="J16" s="39" t="s">
        <v>30</v>
      </c>
      <c r="K16" s="42"/>
      <c r="L16" s="37" t="str">
        <f t="shared" si="0"/>
        <v>DRAW</v>
      </c>
      <c r="M16" s="43"/>
      <c r="N16" s="41"/>
      <c r="O16" s="39" t="s">
        <v>30</v>
      </c>
      <c r="P16" s="42"/>
      <c r="Q16" s="44" t="b">
        <f t="shared" si="1"/>
        <v>1</v>
      </c>
      <c r="R16" s="44" t="str">
        <f t="shared" si="2"/>
        <v>DRAW</v>
      </c>
      <c r="S16" s="44">
        <f t="shared" si="3"/>
        <v>1</v>
      </c>
      <c r="T16" s="2"/>
      <c r="U16" s="41">
        <v>2</v>
      </c>
      <c r="V16" s="39" t="s">
        <v>30</v>
      </c>
      <c r="W16" s="42">
        <v>0</v>
      </c>
      <c r="X16" s="44" t="b">
        <f t="shared" si="4"/>
        <v>0</v>
      </c>
      <c r="Y16" s="44" t="str">
        <f t="shared" si="5"/>
        <v>SWEDEN</v>
      </c>
      <c r="Z16" s="44">
        <f t="shared" si="6"/>
        <v>0</v>
      </c>
      <c r="AA16" s="2"/>
      <c r="AB16" s="41"/>
      <c r="AC16" s="39" t="s">
        <v>30</v>
      </c>
      <c r="AD16" s="42"/>
      <c r="AE16" s="44" t="b">
        <f t="shared" si="7"/>
        <v>1</v>
      </c>
      <c r="AF16" s="44" t="str">
        <f t="shared" si="8"/>
        <v>DRAW</v>
      </c>
      <c r="AG16" s="44">
        <f t="shared" si="9"/>
        <v>1</v>
      </c>
      <c r="AH16" s="45"/>
      <c r="AK16" s="67" t="s">
        <v>89</v>
      </c>
      <c r="AL16" s="68"/>
      <c r="AM16" s="68"/>
      <c r="AN16" s="69"/>
      <c r="AP16" s="67" t="s">
        <v>89</v>
      </c>
      <c r="AQ16" s="68"/>
      <c r="AR16" s="68"/>
      <c r="AS16" s="69"/>
      <c r="AU16" s="67" t="s">
        <v>89</v>
      </c>
      <c r="AV16" s="68"/>
      <c r="AW16" s="68"/>
      <c r="AX16" s="69"/>
      <c r="AZ16" s="67" t="s">
        <v>89</v>
      </c>
      <c r="BA16" s="68"/>
      <c r="BB16" s="68"/>
      <c r="BC16" s="69"/>
      <c r="BE16" s="67" t="s">
        <v>89</v>
      </c>
      <c r="BF16" s="68"/>
      <c r="BG16" s="68"/>
      <c r="BH16" s="69"/>
      <c r="BJ16" s="67" t="s">
        <v>89</v>
      </c>
      <c r="BK16" s="68"/>
      <c r="BL16" s="68"/>
      <c r="BM16" s="69"/>
      <c r="BO16" s="67" t="s">
        <v>89</v>
      </c>
      <c r="BP16" s="68"/>
      <c r="BQ16" s="68"/>
      <c r="BR16" s="69"/>
      <c r="BT16" s="67" t="s">
        <v>89</v>
      </c>
      <c r="BU16" s="68"/>
      <c r="BV16" s="68"/>
      <c r="BW16" s="69"/>
      <c r="BY16" s="67" t="s">
        <v>89</v>
      </c>
      <c r="BZ16" s="68"/>
      <c r="CA16" s="68"/>
      <c r="CB16" s="69"/>
      <c r="CD16" s="67" t="s">
        <v>89</v>
      </c>
      <c r="CE16" s="68"/>
      <c r="CF16" s="68"/>
      <c r="CG16" s="69"/>
      <c r="CI16" s="67" t="s">
        <v>89</v>
      </c>
      <c r="CJ16" s="68"/>
      <c r="CK16" s="68"/>
      <c r="CL16" s="69"/>
      <c r="CN16" s="67" t="s">
        <v>89</v>
      </c>
      <c r="CO16" s="68"/>
      <c r="CP16" s="68"/>
      <c r="CQ16" s="69"/>
      <c r="CV16" s="70" t="s">
        <v>84</v>
      </c>
      <c r="DA16" s="70" t="s">
        <v>84</v>
      </c>
      <c r="DF16" s="70" t="s">
        <v>84</v>
      </c>
      <c r="DK16" s="70" t="s">
        <v>84</v>
      </c>
      <c r="DP16" s="70" t="s">
        <v>84</v>
      </c>
      <c r="DU16" s="70" t="s">
        <v>84</v>
      </c>
      <c r="DZ16" s="70" t="s">
        <v>84</v>
      </c>
      <c r="EE16" s="70" t="s">
        <v>84</v>
      </c>
      <c r="EJ16" s="70" t="s">
        <v>85</v>
      </c>
    </row>
    <row r="17" spans="1:140" x14ac:dyDescent="0.3">
      <c r="A17" s="35" t="s">
        <v>88</v>
      </c>
      <c r="B17" s="36">
        <v>0.79166666666666663</v>
      </c>
      <c r="C17" s="37">
        <v>1</v>
      </c>
      <c r="D17" s="37" t="s">
        <v>90</v>
      </c>
      <c r="E17" s="38" t="s">
        <v>63</v>
      </c>
      <c r="F17" s="39" t="s">
        <v>30</v>
      </c>
      <c r="G17" s="40" t="s">
        <v>39</v>
      </c>
      <c r="H17" s="2"/>
      <c r="I17" s="41"/>
      <c r="J17" s="39" t="s">
        <v>30</v>
      </c>
      <c r="K17" s="42"/>
      <c r="L17" s="37" t="str">
        <f t="shared" si="0"/>
        <v>DRAW</v>
      </c>
      <c r="M17" s="43"/>
      <c r="N17" s="41"/>
      <c r="O17" s="39" t="s">
        <v>30</v>
      </c>
      <c r="P17" s="42"/>
      <c r="Q17" s="44" t="b">
        <f t="shared" si="1"/>
        <v>1</v>
      </c>
      <c r="R17" s="44" t="str">
        <f t="shared" si="2"/>
        <v>DRAW</v>
      </c>
      <c r="S17" s="44">
        <f t="shared" si="3"/>
        <v>1</v>
      </c>
      <c r="T17" s="2"/>
      <c r="U17" s="41">
        <v>3</v>
      </c>
      <c r="V17" s="39" t="s">
        <v>30</v>
      </c>
      <c r="W17" s="42">
        <v>0</v>
      </c>
      <c r="X17" s="44" t="b">
        <f t="shared" si="4"/>
        <v>0</v>
      </c>
      <c r="Y17" s="44" t="str">
        <f t="shared" si="5"/>
        <v>SPAIN</v>
      </c>
      <c r="Z17" s="44">
        <f t="shared" si="6"/>
        <v>0</v>
      </c>
      <c r="AA17" s="2"/>
      <c r="AB17" s="41"/>
      <c r="AC17" s="39" t="s">
        <v>30</v>
      </c>
      <c r="AD17" s="42"/>
      <c r="AE17" s="44" t="b">
        <f t="shared" si="7"/>
        <v>1</v>
      </c>
      <c r="AF17" s="44" t="str">
        <f t="shared" si="8"/>
        <v>DRAW</v>
      </c>
      <c r="AG17" s="44">
        <f t="shared" si="9"/>
        <v>1</v>
      </c>
      <c r="AH17" s="45"/>
      <c r="AK17" s="46">
        <v>1</v>
      </c>
      <c r="AL17" s="61" t="s">
        <v>29</v>
      </c>
      <c r="AM17" s="46"/>
      <c r="AN17" s="46">
        <f>IF(AL17=AL$5,1,0)</f>
        <v>0</v>
      </c>
      <c r="AP17" s="46">
        <v>1</v>
      </c>
      <c r="AQ17" s="61" t="s">
        <v>71</v>
      </c>
      <c r="AR17" s="46"/>
      <c r="AS17" s="48">
        <f>IF(AQ17=AQ$5,1,0)</f>
        <v>0</v>
      </c>
      <c r="AU17" s="46">
        <v>1</v>
      </c>
      <c r="AV17" s="46" t="s">
        <v>34</v>
      </c>
      <c r="AW17" s="49"/>
      <c r="AX17" s="46">
        <f>IF(AV17=AV$5,1,0)</f>
        <v>1</v>
      </c>
      <c r="AZ17" s="46">
        <v>1</v>
      </c>
      <c r="BA17" s="61" t="s">
        <v>47</v>
      </c>
      <c r="BB17" s="46"/>
      <c r="BC17" s="48">
        <f>IF(BA17=BA$5,1,0)</f>
        <v>0</v>
      </c>
      <c r="BE17" s="46">
        <v>1</v>
      </c>
      <c r="BF17" s="61" t="s">
        <v>73</v>
      </c>
      <c r="BG17" s="46"/>
      <c r="BH17" s="48">
        <f>IF(BF17=BF$5,1,0)</f>
        <v>0</v>
      </c>
      <c r="BJ17" s="46">
        <v>1</v>
      </c>
      <c r="BK17" s="61" t="s">
        <v>49</v>
      </c>
      <c r="BL17" s="46"/>
      <c r="BM17" s="48">
        <f>IF(BK17=BK$5,1,0)</f>
        <v>0</v>
      </c>
      <c r="BO17" s="46">
        <v>1</v>
      </c>
      <c r="BP17" s="61" t="s">
        <v>38</v>
      </c>
      <c r="BQ17" s="46"/>
      <c r="BR17" s="48">
        <f>IF(BP17=BP$5,1,0)</f>
        <v>1</v>
      </c>
      <c r="BT17" s="46">
        <v>1</v>
      </c>
      <c r="BU17" s="61" t="s">
        <v>63</v>
      </c>
      <c r="BV17" s="46"/>
      <c r="BW17" s="48">
        <f>IF(BU17=BU$5,1,0)</f>
        <v>0</v>
      </c>
      <c r="BY17" s="46">
        <v>1</v>
      </c>
      <c r="BZ17" s="61" t="s">
        <v>40</v>
      </c>
      <c r="CA17" s="46"/>
      <c r="CB17" s="48">
        <f>IF(BZ17=BZ$5,1,0)</f>
        <v>1</v>
      </c>
      <c r="CD17" s="46">
        <v>1</v>
      </c>
      <c r="CE17" s="61" t="s">
        <v>53</v>
      </c>
      <c r="CF17" s="46"/>
      <c r="CG17" s="48">
        <f>IF(CE17=CE$5,1,0)</f>
        <v>0</v>
      </c>
      <c r="CI17" s="46">
        <v>1</v>
      </c>
      <c r="CJ17" s="61" t="s">
        <v>42</v>
      </c>
      <c r="CK17" s="46"/>
      <c r="CL17" s="48">
        <f>IF(CJ17=CJ$5,1,0)</f>
        <v>1</v>
      </c>
      <c r="CN17" s="46">
        <v>1</v>
      </c>
      <c r="CO17" s="61" t="s">
        <v>55</v>
      </c>
      <c r="CP17" s="46"/>
      <c r="CQ17" s="48">
        <f>IF(CO17=CO$5,1,0)</f>
        <v>0</v>
      </c>
      <c r="CS17" s="62"/>
      <c r="CT17" s="63" t="s">
        <v>30</v>
      </c>
      <c r="CU17" s="64"/>
      <c r="CV17" s="48"/>
      <c r="CX17" s="62"/>
      <c r="CY17" s="63" t="s">
        <v>30</v>
      </c>
      <c r="CZ17" s="64"/>
      <c r="DA17" s="48"/>
      <c r="DC17" s="62"/>
      <c r="DD17" s="63" t="s">
        <v>30</v>
      </c>
      <c r="DE17" s="64"/>
      <c r="DF17" s="48"/>
      <c r="DH17" s="62"/>
      <c r="DI17" s="63" t="s">
        <v>30</v>
      </c>
      <c r="DJ17" s="64"/>
      <c r="DK17" s="48"/>
      <c r="DM17" s="62"/>
      <c r="DN17" s="63" t="s">
        <v>30</v>
      </c>
      <c r="DO17" s="64"/>
      <c r="DP17" s="48"/>
      <c r="DR17" s="62"/>
      <c r="DS17" s="63" t="s">
        <v>30</v>
      </c>
      <c r="DT17" s="64"/>
      <c r="DU17" s="48"/>
      <c r="DW17" s="62">
        <f>DP17</f>
        <v>0</v>
      </c>
      <c r="DX17" s="63" t="s">
        <v>30</v>
      </c>
      <c r="DY17" s="64">
        <f>DP18</f>
        <v>0</v>
      </c>
      <c r="DZ17" s="71"/>
      <c r="EB17" s="62">
        <f>DZ17</f>
        <v>0</v>
      </c>
      <c r="EC17" s="63" t="s">
        <v>30</v>
      </c>
      <c r="ED17" s="64">
        <f>DZ18</f>
        <v>0</v>
      </c>
      <c r="EE17" s="48"/>
      <c r="EG17" s="62">
        <f>EE17</f>
        <v>0</v>
      </c>
      <c r="EH17" s="63" t="s">
        <v>30</v>
      </c>
      <c r="EI17" s="64">
        <f>EE18</f>
        <v>0</v>
      </c>
      <c r="EJ17" s="48"/>
    </row>
    <row r="18" spans="1:140" ht="14.95" thickBot="1" x14ac:dyDescent="0.35">
      <c r="A18" s="35" t="s">
        <v>88</v>
      </c>
      <c r="B18" s="36">
        <v>0.91666666666666663</v>
      </c>
      <c r="C18" s="37">
        <v>1</v>
      </c>
      <c r="D18" s="37" t="s">
        <v>91</v>
      </c>
      <c r="E18" s="38" t="s">
        <v>38</v>
      </c>
      <c r="F18" s="39" t="s">
        <v>30</v>
      </c>
      <c r="G18" s="40" t="s">
        <v>50</v>
      </c>
      <c r="H18" s="2"/>
      <c r="I18" s="41"/>
      <c r="J18" s="39" t="s">
        <v>30</v>
      </c>
      <c r="K18" s="42"/>
      <c r="L18" s="37" t="str">
        <f>IF(I18&gt;K18,E18,IF(K18&gt;I18,G18,"DRAW"))</f>
        <v>DRAW</v>
      </c>
      <c r="M18" s="43"/>
      <c r="N18" s="41"/>
      <c r="O18" s="39" t="s">
        <v>30</v>
      </c>
      <c r="P18" s="42"/>
      <c r="Q18" s="44" t="b">
        <f>AND(N18=$I18,P18=$K18)</f>
        <v>1</v>
      </c>
      <c r="R18" s="44" t="str">
        <f>IF(N18&gt;P18,$E18,IF(P18&gt;N18,$G18,"DRAW"))</f>
        <v>DRAW</v>
      </c>
      <c r="S18" s="44">
        <f>IF(R18=$L18,1,0)</f>
        <v>1</v>
      </c>
      <c r="T18" s="2"/>
      <c r="U18" s="41">
        <v>1</v>
      </c>
      <c r="V18" s="39" t="s">
        <v>30</v>
      </c>
      <c r="W18" s="42">
        <v>0</v>
      </c>
      <c r="X18" s="44" t="b">
        <f>AND(U18=$I18,W18=$K18)</f>
        <v>0</v>
      </c>
      <c r="Y18" s="44" t="str">
        <f>IF(U18&gt;W18,$E18,IF(W18&gt;U18,$G18,"DRAW"))</f>
        <v>BELGIUM</v>
      </c>
      <c r="Z18" s="44">
        <f>IF(Y18=$L18,1,0)</f>
        <v>0</v>
      </c>
      <c r="AA18" s="2"/>
      <c r="AB18" s="41"/>
      <c r="AC18" s="39" t="s">
        <v>30</v>
      </c>
      <c r="AD18" s="42"/>
      <c r="AE18" s="44" t="b">
        <f>AND(AB18=$I18,AD18=$K18)</f>
        <v>1</v>
      </c>
      <c r="AF18" s="44" t="str">
        <f>IF(AB18&gt;AD18,$E18,IF(AD18&gt;AB18,$G18,"DRAW"))</f>
        <v>DRAW</v>
      </c>
      <c r="AG18" s="44">
        <f>IF(AF18=$L18,1,0)</f>
        <v>1</v>
      </c>
      <c r="AH18" s="45"/>
      <c r="AK18" s="53">
        <v>2</v>
      </c>
      <c r="AL18" s="65" t="s">
        <v>32</v>
      </c>
      <c r="AM18" s="53"/>
      <c r="AN18" s="53">
        <f>IF(AL18=AL$6,1,0)</f>
        <v>0</v>
      </c>
      <c r="AP18" s="53">
        <v>2</v>
      </c>
      <c r="AQ18" s="65" t="s">
        <v>45</v>
      </c>
      <c r="AR18" s="53"/>
      <c r="AS18" s="53">
        <f>IF(AQ18=AQ$6,1,0)</f>
        <v>1</v>
      </c>
      <c r="AU18" s="53">
        <v>2</v>
      </c>
      <c r="AV18" s="53" t="s">
        <v>58</v>
      </c>
      <c r="AW18" s="52"/>
      <c r="AX18" s="53">
        <f>IF(AV18=AV$6,1,0)</f>
        <v>0</v>
      </c>
      <c r="AZ18" s="53">
        <v>2</v>
      </c>
      <c r="BA18" s="65" t="s">
        <v>59</v>
      </c>
      <c r="BB18" s="53"/>
      <c r="BC18" s="53">
        <f>IF(BA18=BA$6,1,0)</f>
        <v>0</v>
      </c>
      <c r="BE18" s="53">
        <v>2</v>
      </c>
      <c r="BF18" s="65" t="s">
        <v>60</v>
      </c>
      <c r="BG18" s="53"/>
      <c r="BH18" s="53">
        <f>IF(BF18=BF$6,1,0)</f>
        <v>0</v>
      </c>
      <c r="BJ18" s="53">
        <v>2</v>
      </c>
      <c r="BK18" s="65" t="s">
        <v>37</v>
      </c>
      <c r="BL18" s="53"/>
      <c r="BM18" s="53">
        <f>IF(BK18=BK$6,1,0)</f>
        <v>0</v>
      </c>
      <c r="BO18" s="53">
        <v>2</v>
      </c>
      <c r="BP18" s="65" t="s">
        <v>50</v>
      </c>
      <c r="BQ18" s="53"/>
      <c r="BR18" s="53">
        <f>IF(BP18=BP$6,1,0)</f>
        <v>1</v>
      </c>
      <c r="BT18" s="53">
        <v>2</v>
      </c>
      <c r="BU18" s="65" t="s">
        <v>76</v>
      </c>
      <c r="BV18" s="53"/>
      <c r="BW18" s="53">
        <f>IF(BU18=BU$6,1,0)</f>
        <v>0</v>
      </c>
      <c r="BY18" s="53">
        <v>2</v>
      </c>
      <c r="BZ18" s="65" t="s">
        <v>77</v>
      </c>
      <c r="CA18" s="53"/>
      <c r="CB18" s="53">
        <f>IF(BZ18=BZ$6,1,0)</f>
        <v>0</v>
      </c>
      <c r="CD18" s="53">
        <v>2</v>
      </c>
      <c r="CE18" s="65" t="s">
        <v>65</v>
      </c>
      <c r="CF18" s="53"/>
      <c r="CG18" s="53">
        <f>IF(CE18=CE$6,1,0)</f>
        <v>0</v>
      </c>
      <c r="CI18" s="53">
        <v>2</v>
      </c>
      <c r="CJ18" s="65" t="s">
        <v>66</v>
      </c>
      <c r="CK18" s="53"/>
      <c r="CL18" s="53">
        <f>IF(CJ18=CJ$6,1,0)</f>
        <v>0</v>
      </c>
      <c r="CN18" s="53">
        <v>2</v>
      </c>
      <c r="CO18" s="65" t="s">
        <v>43</v>
      </c>
      <c r="CP18" s="53"/>
      <c r="CQ18" s="53">
        <f>IF(CO18=CO$6,1,0)</f>
        <v>0</v>
      </c>
      <c r="CS18" s="62"/>
      <c r="CT18" s="63" t="s">
        <v>30</v>
      </c>
      <c r="CU18" s="64"/>
      <c r="CV18" s="48"/>
      <c r="CX18" s="62"/>
      <c r="CY18" s="63" t="s">
        <v>30</v>
      </c>
      <c r="CZ18" s="64"/>
      <c r="DA18" s="48"/>
      <c r="DC18" s="62"/>
      <c r="DD18" s="63" t="s">
        <v>30</v>
      </c>
      <c r="DE18" s="64"/>
      <c r="DF18" s="48"/>
      <c r="DH18" s="62"/>
      <c r="DI18" s="63" t="s">
        <v>30</v>
      </c>
      <c r="DJ18" s="64"/>
      <c r="DK18" s="48"/>
      <c r="DM18" s="62"/>
      <c r="DN18" s="63" t="s">
        <v>30</v>
      </c>
      <c r="DO18" s="64"/>
      <c r="DP18" s="48"/>
      <c r="DR18" s="62"/>
      <c r="DS18" s="63" t="s">
        <v>30</v>
      </c>
      <c r="DT18" s="64"/>
      <c r="DU18" s="48"/>
      <c r="DW18" s="62">
        <f>DP19</f>
        <v>0</v>
      </c>
      <c r="DX18" s="63" t="s">
        <v>30</v>
      </c>
      <c r="DY18" s="64">
        <f>DP20</f>
        <v>0</v>
      </c>
      <c r="DZ18" s="48"/>
      <c r="EB18" s="62">
        <f>DZ19</f>
        <v>0</v>
      </c>
      <c r="EC18" s="63" t="s">
        <v>30</v>
      </c>
      <c r="ED18" s="64">
        <f>DZ20</f>
        <v>0</v>
      </c>
      <c r="EE18" s="48"/>
      <c r="EG18" s="62">
        <f>IF(EB17=EE17,ED17,EB17)</f>
        <v>0</v>
      </c>
      <c r="EH18" s="63" t="s">
        <v>30</v>
      </c>
      <c r="EI18" s="64">
        <f>IF(EB18=EE18,ED18,EB18)</f>
        <v>0</v>
      </c>
      <c r="EJ18" s="48"/>
    </row>
    <row r="19" spans="1:140" x14ac:dyDescent="0.3">
      <c r="A19" s="35" t="s">
        <v>92</v>
      </c>
      <c r="B19" s="36">
        <v>4.1666666666666664E-2</v>
      </c>
      <c r="C19" s="37">
        <v>1</v>
      </c>
      <c r="D19" s="37" t="s">
        <v>90</v>
      </c>
      <c r="E19" s="38" t="s">
        <v>51</v>
      </c>
      <c r="F19" s="39" t="s">
        <v>30</v>
      </c>
      <c r="G19" s="40" t="s">
        <v>76</v>
      </c>
      <c r="H19" s="2"/>
      <c r="I19" s="41"/>
      <c r="J19" s="39" t="s">
        <v>30</v>
      </c>
      <c r="K19" s="42"/>
      <c r="L19" s="37" t="str">
        <f>IF(I19&gt;K19,E19,IF(K19&gt;I19,G19,"DRAW"))</f>
        <v>DRAW</v>
      </c>
      <c r="M19" s="43"/>
      <c r="N19" s="41"/>
      <c r="O19" s="39" t="s">
        <v>30</v>
      </c>
      <c r="P19" s="42"/>
      <c r="Q19" s="44" t="b">
        <f>AND(N19=$I19,P19=$K19)</f>
        <v>1</v>
      </c>
      <c r="R19" s="44" t="str">
        <f>IF(N19&gt;P19,$E19,IF(P19&gt;N19,$G19,"DRAW"))</f>
        <v>DRAW</v>
      </c>
      <c r="S19" s="44">
        <f>IF(R19=$L19,1,0)</f>
        <v>1</v>
      </c>
      <c r="T19" s="2"/>
      <c r="U19" s="41">
        <v>1</v>
      </c>
      <c r="V19" s="39" t="s">
        <v>30</v>
      </c>
      <c r="W19" s="42">
        <v>3</v>
      </c>
      <c r="X19" s="44" t="b">
        <f>AND(U19=$I19,W19=$K19)</f>
        <v>0</v>
      </c>
      <c r="Y19" s="44" t="str">
        <f>IF(U19&gt;W19,$E19,IF(W19&gt;U19,$G19,"DRAW"))</f>
        <v>URUGUAY</v>
      </c>
      <c r="Z19" s="44">
        <f>IF(Y19=$L19,1,0)</f>
        <v>0</v>
      </c>
      <c r="AA19" s="2"/>
      <c r="AB19" s="41"/>
      <c r="AC19" s="39" t="s">
        <v>30</v>
      </c>
      <c r="AD19" s="42"/>
      <c r="AE19" s="44" t="b">
        <f>AND(AB19=$I19,AD19=$K19)</f>
        <v>1</v>
      </c>
      <c r="AF19" s="44" t="str">
        <f>IF(AB19&gt;AD19,$E19,IF(AD19&gt;AB19,$G19,"DRAW"))</f>
        <v>DRAW</v>
      </c>
      <c r="AG19" s="44">
        <f>IF(AF19=$L19,1,0)</f>
        <v>1</v>
      </c>
      <c r="AH19" s="45"/>
      <c r="AK19" s="54">
        <v>3</v>
      </c>
      <c r="AL19" s="55" t="s">
        <v>44</v>
      </c>
      <c r="AM19" s="54"/>
      <c r="AN19" s="54">
        <f>IF(AL19=AL$7,1,0)</f>
        <v>0</v>
      </c>
      <c r="AP19" s="54">
        <v>3</v>
      </c>
      <c r="AQ19" s="66" t="s">
        <v>33</v>
      </c>
      <c r="AR19" s="54"/>
      <c r="AS19" s="54">
        <f>IF(AQ19=AQ$7,1,0)</f>
        <v>0</v>
      </c>
      <c r="AU19" s="54">
        <v>3</v>
      </c>
      <c r="AV19" s="54" t="s">
        <v>72</v>
      </c>
      <c r="AW19" s="56"/>
      <c r="AX19" s="54">
        <f>IF(AV19=AV$7,1,0)</f>
        <v>0</v>
      </c>
      <c r="AZ19" s="54">
        <v>3</v>
      </c>
      <c r="BA19" s="66" t="s">
        <v>70</v>
      </c>
      <c r="BB19" s="54"/>
      <c r="BC19" s="54">
        <f>IF(BA19=BA$7,1,0)</f>
        <v>0</v>
      </c>
      <c r="BE19" s="54">
        <v>3</v>
      </c>
      <c r="BF19" s="66" t="s">
        <v>36</v>
      </c>
      <c r="BG19" s="54"/>
      <c r="BH19" s="54">
        <f>IF(BF19=BF$7,1,0)</f>
        <v>0</v>
      </c>
      <c r="BJ19" s="54">
        <v>3</v>
      </c>
      <c r="BK19" s="66" t="s">
        <v>61</v>
      </c>
      <c r="BL19" s="54"/>
      <c r="BM19" s="54">
        <f>IF(BK19=BK$7,1,0)</f>
        <v>1</v>
      </c>
      <c r="BO19" s="54">
        <v>3</v>
      </c>
      <c r="BP19" s="66" t="s">
        <v>75</v>
      </c>
      <c r="BQ19" s="54"/>
      <c r="BR19" s="54">
        <f>IF(BP19=BP$7,1,0)</f>
        <v>0</v>
      </c>
      <c r="BT19" s="54">
        <v>3</v>
      </c>
      <c r="BU19" s="66" t="s">
        <v>51</v>
      </c>
      <c r="BV19" s="54"/>
      <c r="BW19" s="54">
        <f>IF(BU19=BU$7,1,0)</f>
        <v>0</v>
      </c>
      <c r="BY19" s="54">
        <v>3</v>
      </c>
      <c r="BZ19" s="66" t="s">
        <v>64</v>
      </c>
      <c r="CA19" s="54"/>
      <c r="CB19" s="54">
        <f>IF(BZ19=BZ$7,1,0)</f>
        <v>1</v>
      </c>
      <c r="CD19" s="54">
        <v>3</v>
      </c>
      <c r="CE19" s="66" t="s">
        <v>41</v>
      </c>
      <c r="CF19" s="54"/>
      <c r="CG19" s="54">
        <f>IF(CE19=CE$7,1,0)</f>
        <v>0</v>
      </c>
      <c r="CI19" s="54">
        <v>3</v>
      </c>
      <c r="CJ19" s="66" t="s">
        <v>54</v>
      </c>
      <c r="CK19" s="54"/>
      <c r="CL19" s="54">
        <f>IF(CJ19=CJ$7,1,0)</f>
        <v>0</v>
      </c>
      <c r="CN19" s="54">
        <v>3</v>
      </c>
      <c r="CO19" s="66" t="s">
        <v>67</v>
      </c>
      <c r="CP19" s="54"/>
      <c r="CQ19" s="54">
        <f>IF(CO19=CO$7,1,0)</f>
        <v>1</v>
      </c>
      <c r="CS19" s="62"/>
      <c r="CT19" s="63" t="s">
        <v>30</v>
      </c>
      <c r="CU19" s="64"/>
      <c r="CV19" s="48"/>
      <c r="CX19" s="62"/>
      <c r="CY19" s="63" t="s">
        <v>30</v>
      </c>
      <c r="CZ19" s="64"/>
      <c r="DA19" s="48"/>
      <c r="DC19" s="62"/>
      <c r="DD19" s="63" t="s">
        <v>30</v>
      </c>
      <c r="DE19" s="64"/>
      <c r="DF19" s="48"/>
      <c r="DH19" s="62"/>
      <c r="DI19" s="63" t="s">
        <v>30</v>
      </c>
      <c r="DJ19" s="64"/>
      <c r="DK19" s="48"/>
      <c r="DM19" s="62"/>
      <c r="DN19" s="63" t="s">
        <v>30</v>
      </c>
      <c r="DO19" s="64"/>
      <c r="DP19" s="48"/>
      <c r="DR19" s="62"/>
      <c r="DS19" s="63" t="s">
        <v>30</v>
      </c>
      <c r="DT19" s="64"/>
      <c r="DU19" s="48"/>
      <c r="DW19" s="62">
        <f>DU17</f>
        <v>0</v>
      </c>
      <c r="DX19" s="63" t="s">
        <v>30</v>
      </c>
      <c r="DY19" s="64">
        <f>DU18</f>
        <v>0</v>
      </c>
      <c r="DZ19" s="48"/>
    </row>
    <row r="20" spans="1:140" x14ac:dyDescent="0.3">
      <c r="A20" s="35" t="s">
        <v>92</v>
      </c>
      <c r="B20" s="36">
        <v>0.16666666666666666</v>
      </c>
      <c r="C20" s="37">
        <v>1</v>
      </c>
      <c r="D20" s="37" t="s">
        <v>91</v>
      </c>
      <c r="E20" s="38" t="s">
        <v>93</v>
      </c>
      <c r="F20" s="39" t="s">
        <v>30</v>
      </c>
      <c r="G20" s="40" t="s">
        <v>75</v>
      </c>
      <c r="H20" s="2"/>
      <c r="I20" s="41"/>
      <c r="J20" s="39" t="s">
        <v>30</v>
      </c>
      <c r="K20" s="42"/>
      <c r="L20" s="37" t="str">
        <f t="shared" si="0"/>
        <v>DRAW</v>
      </c>
      <c r="M20" s="43"/>
      <c r="N20" s="41"/>
      <c r="O20" s="39" t="s">
        <v>30</v>
      </c>
      <c r="P20" s="42"/>
      <c r="Q20" s="44" t="b">
        <f t="shared" si="1"/>
        <v>1</v>
      </c>
      <c r="R20" s="44" t="str">
        <f t="shared" si="2"/>
        <v>DRAW</v>
      </c>
      <c r="S20" s="44">
        <f t="shared" si="3"/>
        <v>1</v>
      </c>
      <c r="T20" s="2"/>
      <c r="U20" s="41">
        <v>0</v>
      </c>
      <c r="V20" s="39" t="s">
        <v>30</v>
      </c>
      <c r="W20" s="42">
        <v>1</v>
      </c>
      <c r="X20" s="44" t="b">
        <f t="shared" si="4"/>
        <v>0</v>
      </c>
      <c r="Y20" s="44" t="str">
        <f t="shared" si="5"/>
        <v>NEW ZEALAND</v>
      </c>
      <c r="Z20" s="44">
        <f t="shared" si="6"/>
        <v>0</v>
      </c>
      <c r="AA20" s="2"/>
      <c r="AB20" s="41"/>
      <c r="AC20" s="39" t="s">
        <v>30</v>
      </c>
      <c r="AD20" s="42"/>
      <c r="AE20" s="44" t="b">
        <f t="shared" si="7"/>
        <v>1</v>
      </c>
      <c r="AF20" s="44" t="str">
        <f t="shared" si="8"/>
        <v>DRAW</v>
      </c>
      <c r="AG20" s="44">
        <f t="shared" si="9"/>
        <v>1</v>
      </c>
      <c r="AH20" s="45"/>
      <c r="AK20" s="46">
        <v>4</v>
      </c>
      <c r="AL20" s="61" t="s">
        <v>31</v>
      </c>
      <c r="AM20" s="46"/>
      <c r="AN20" s="46">
        <f>IF(AL20=AL$8,1,0)</f>
        <v>0</v>
      </c>
      <c r="AP20" s="46">
        <v>4</v>
      </c>
      <c r="AQ20" s="61" t="s">
        <v>57</v>
      </c>
      <c r="AR20" s="46"/>
      <c r="AS20" s="46">
        <f>IF(AQ20=AQ$8,1,0)</f>
        <v>0</v>
      </c>
      <c r="AU20" s="46">
        <v>4</v>
      </c>
      <c r="AV20" s="46" t="s">
        <v>46</v>
      </c>
      <c r="AW20" s="49"/>
      <c r="AX20" s="46">
        <f>IF(AV20=AV$8,1,0)</f>
        <v>0</v>
      </c>
      <c r="AZ20" s="46">
        <v>4</v>
      </c>
      <c r="BA20" s="61" t="s">
        <v>35</v>
      </c>
      <c r="BB20" s="46"/>
      <c r="BC20" s="46">
        <f>IF(BA20=BA$8,1,0)</f>
        <v>0</v>
      </c>
      <c r="BE20" s="46">
        <v>4</v>
      </c>
      <c r="BF20" s="61" t="s">
        <v>48</v>
      </c>
      <c r="BG20" s="46"/>
      <c r="BH20" s="46">
        <f>IF(BF20=BF$8,1,0)</f>
        <v>0</v>
      </c>
      <c r="BJ20" s="46">
        <v>4</v>
      </c>
      <c r="BK20" s="61" t="s">
        <v>74</v>
      </c>
      <c r="BL20" s="46"/>
      <c r="BM20" s="46">
        <f>IF(BK20=BK$8,1,0)</f>
        <v>1</v>
      </c>
      <c r="BO20" s="46">
        <v>4</v>
      </c>
      <c r="BP20" s="61" t="s">
        <v>62</v>
      </c>
      <c r="BQ20" s="46"/>
      <c r="BR20" s="46">
        <f>IF(BP20=BP$8,1,0)</f>
        <v>0</v>
      </c>
      <c r="BT20" s="46">
        <v>4</v>
      </c>
      <c r="BU20" s="61" t="s">
        <v>39</v>
      </c>
      <c r="BV20" s="46"/>
      <c r="BW20" s="46">
        <f>IF(BU20=BU$8,1,0)</f>
        <v>0</v>
      </c>
      <c r="BY20" s="46">
        <v>4</v>
      </c>
      <c r="BZ20" s="61" t="s">
        <v>52</v>
      </c>
      <c r="CA20" s="46"/>
      <c r="CB20" s="46">
        <f>IF(BZ20=BZ$8,1,0)</f>
        <v>0</v>
      </c>
      <c r="CD20" s="46">
        <v>4</v>
      </c>
      <c r="CE20" s="61" t="s">
        <v>78</v>
      </c>
      <c r="CF20" s="46"/>
      <c r="CG20" s="46">
        <f>IF(CE20=CE$8,1,0)</f>
        <v>1</v>
      </c>
      <c r="CI20" s="46">
        <v>4</v>
      </c>
      <c r="CJ20" s="61" t="s">
        <v>79</v>
      </c>
      <c r="CK20" s="46"/>
      <c r="CL20" s="46">
        <f>IF(CJ20=CJ$8,1,0)</f>
        <v>1</v>
      </c>
      <c r="CN20" s="46">
        <v>4</v>
      </c>
      <c r="CO20" s="61" t="s">
        <v>80</v>
      </c>
      <c r="CP20" s="46"/>
      <c r="CQ20" s="46">
        <f>IF(CO20=CO$8,1,0)</f>
        <v>1</v>
      </c>
      <c r="CS20" s="62"/>
      <c r="CT20" s="63" t="s">
        <v>30</v>
      </c>
      <c r="CU20" s="64"/>
      <c r="CV20" s="48"/>
      <c r="CX20" s="62"/>
      <c r="CY20" s="63" t="s">
        <v>30</v>
      </c>
      <c r="CZ20" s="64"/>
      <c r="DA20" s="48"/>
      <c r="DC20" s="62"/>
      <c r="DD20" s="63" t="s">
        <v>30</v>
      </c>
      <c r="DE20" s="64"/>
      <c r="DF20" s="48"/>
      <c r="DH20" s="62"/>
      <c r="DI20" s="63" t="s">
        <v>30</v>
      </c>
      <c r="DJ20" s="64"/>
      <c r="DK20" s="48"/>
      <c r="DM20" s="62"/>
      <c r="DN20" s="63" t="s">
        <v>30</v>
      </c>
      <c r="DO20" s="64"/>
      <c r="DP20" s="48"/>
      <c r="DR20" s="62"/>
      <c r="DS20" s="63" t="s">
        <v>30</v>
      </c>
      <c r="DT20" s="64"/>
      <c r="DU20" s="48"/>
      <c r="DW20" s="62">
        <f>DU19</f>
        <v>0</v>
      </c>
      <c r="DX20" s="63" t="s">
        <v>30</v>
      </c>
      <c r="DY20" s="64">
        <f>DU20</f>
        <v>0</v>
      </c>
      <c r="DZ20" s="48"/>
    </row>
    <row r="21" spans="1:140" x14ac:dyDescent="0.3">
      <c r="A21" s="35" t="s">
        <v>92</v>
      </c>
      <c r="B21" s="36">
        <v>0.91666666666666663</v>
      </c>
      <c r="C21" s="37">
        <v>1</v>
      </c>
      <c r="D21" s="44" t="s">
        <v>94</v>
      </c>
      <c r="E21" s="38" t="s">
        <v>40</v>
      </c>
      <c r="F21" s="39" t="s">
        <v>30</v>
      </c>
      <c r="G21" s="40" t="s">
        <v>77</v>
      </c>
      <c r="H21" s="2"/>
      <c r="I21" s="41"/>
      <c r="J21" s="39" t="s">
        <v>30</v>
      </c>
      <c r="K21" s="42"/>
      <c r="L21" s="44" t="str">
        <f t="shared" si="0"/>
        <v>DRAW</v>
      </c>
      <c r="M21" s="43"/>
      <c r="N21" s="41"/>
      <c r="O21" s="39" t="s">
        <v>30</v>
      </c>
      <c r="P21" s="42"/>
      <c r="Q21" s="44" t="b">
        <f t="shared" si="1"/>
        <v>1</v>
      </c>
      <c r="R21" s="44" t="str">
        <f t="shared" si="2"/>
        <v>DRAW</v>
      </c>
      <c r="S21" s="44">
        <f t="shared" si="3"/>
        <v>1</v>
      </c>
      <c r="T21" s="2"/>
      <c r="U21" s="41">
        <v>4</v>
      </c>
      <c r="V21" s="39" t="s">
        <v>30</v>
      </c>
      <c r="W21" s="42">
        <v>2</v>
      </c>
      <c r="X21" s="44" t="b">
        <f t="shared" si="4"/>
        <v>0</v>
      </c>
      <c r="Y21" s="44" t="str">
        <f t="shared" si="5"/>
        <v>FRANCE</v>
      </c>
      <c r="Z21" s="44">
        <f t="shared" si="6"/>
        <v>0</v>
      </c>
      <c r="AA21" s="2"/>
      <c r="AB21" s="41"/>
      <c r="AC21" s="39" t="s">
        <v>30</v>
      </c>
      <c r="AD21" s="42"/>
      <c r="AE21" s="44" t="b">
        <f t="shared" si="7"/>
        <v>1</v>
      </c>
      <c r="AF21" s="44" t="str">
        <f t="shared" si="8"/>
        <v>DRAW</v>
      </c>
      <c r="AG21" s="44">
        <f t="shared" si="9"/>
        <v>1</v>
      </c>
      <c r="AH21" s="45"/>
    </row>
    <row r="22" spans="1:140" x14ac:dyDescent="0.3">
      <c r="A22" s="35" t="s">
        <v>95</v>
      </c>
      <c r="B22" s="36">
        <v>4.1666666666666664E-2</v>
      </c>
      <c r="C22" s="37">
        <v>1</v>
      </c>
      <c r="D22" s="44" t="s">
        <v>94</v>
      </c>
      <c r="E22" s="38" t="s">
        <v>52</v>
      </c>
      <c r="F22" s="39" t="s">
        <v>30</v>
      </c>
      <c r="G22" s="40" t="s">
        <v>64</v>
      </c>
      <c r="H22" s="2"/>
      <c r="I22" s="41"/>
      <c r="J22" s="39" t="s">
        <v>30</v>
      </c>
      <c r="K22" s="42"/>
      <c r="L22" s="44" t="str">
        <f t="shared" si="0"/>
        <v>DRAW</v>
      </c>
      <c r="M22" s="43"/>
      <c r="N22" s="41"/>
      <c r="O22" s="39" t="s">
        <v>30</v>
      </c>
      <c r="P22" s="42"/>
      <c r="Q22" s="44" t="b">
        <f t="shared" si="1"/>
        <v>1</v>
      </c>
      <c r="R22" s="44" t="str">
        <f t="shared" si="2"/>
        <v>DRAW</v>
      </c>
      <c r="S22" s="44">
        <f t="shared" si="3"/>
        <v>1</v>
      </c>
      <c r="T22" s="2"/>
      <c r="U22" s="41">
        <v>0</v>
      </c>
      <c r="V22" s="39" t="s">
        <v>30</v>
      </c>
      <c r="W22" s="42">
        <v>3</v>
      </c>
      <c r="X22" s="44" t="b">
        <f t="shared" si="4"/>
        <v>0</v>
      </c>
      <c r="Y22" s="44" t="str">
        <f t="shared" si="5"/>
        <v>NORWAY</v>
      </c>
      <c r="Z22" s="44">
        <f t="shared" si="6"/>
        <v>0</v>
      </c>
      <c r="AA22" s="2"/>
      <c r="AB22" s="41"/>
      <c r="AC22" s="39" t="s">
        <v>30</v>
      </c>
      <c r="AD22" s="42"/>
      <c r="AE22" s="44" t="b">
        <f t="shared" si="7"/>
        <v>1</v>
      </c>
      <c r="AF22" s="44" t="str">
        <f t="shared" si="8"/>
        <v>DRAW</v>
      </c>
      <c r="AG22" s="44">
        <f t="shared" si="9"/>
        <v>1</v>
      </c>
      <c r="AH22" s="45"/>
      <c r="AK22" s="72" t="s">
        <v>96</v>
      </c>
      <c r="AL22" s="73"/>
      <c r="AM22" s="73"/>
      <c r="AN22" s="74"/>
      <c r="AP22" s="72" t="s">
        <v>96</v>
      </c>
      <c r="AQ22" s="73"/>
      <c r="AR22" s="73"/>
      <c r="AS22" s="74"/>
      <c r="AU22" s="72" t="s">
        <v>96</v>
      </c>
      <c r="AV22" s="73"/>
      <c r="AW22" s="73"/>
      <c r="AX22" s="74"/>
      <c r="AZ22" s="72" t="s">
        <v>96</v>
      </c>
      <c r="BA22" s="73"/>
      <c r="BB22" s="73"/>
      <c r="BC22" s="74"/>
      <c r="BE22" s="72" t="s">
        <v>96</v>
      </c>
      <c r="BF22" s="73"/>
      <c r="BG22" s="73"/>
      <c r="BH22" s="74"/>
      <c r="BJ22" s="72" t="s">
        <v>96</v>
      </c>
      <c r="BK22" s="73"/>
      <c r="BL22" s="73"/>
      <c r="BM22" s="74"/>
      <c r="BO22" s="72" t="s">
        <v>96</v>
      </c>
      <c r="BP22" s="73"/>
      <c r="BQ22" s="73"/>
      <c r="BR22" s="74"/>
      <c r="BT22" s="72" t="s">
        <v>96</v>
      </c>
      <c r="BU22" s="73"/>
      <c r="BV22" s="73"/>
      <c r="BW22" s="74"/>
      <c r="BY22" s="72" t="s">
        <v>96</v>
      </c>
      <c r="BZ22" s="73"/>
      <c r="CA22" s="73"/>
      <c r="CB22" s="74"/>
      <c r="CD22" s="72" t="s">
        <v>96</v>
      </c>
      <c r="CE22" s="73"/>
      <c r="CF22" s="73"/>
      <c r="CG22" s="74"/>
      <c r="CI22" s="72" t="s">
        <v>96</v>
      </c>
      <c r="CJ22" s="73"/>
      <c r="CK22" s="73"/>
      <c r="CL22" s="74"/>
      <c r="CN22" s="72" t="s">
        <v>96</v>
      </c>
      <c r="CO22" s="73"/>
      <c r="CP22" s="73"/>
      <c r="CQ22" s="74"/>
      <c r="CV22" s="75" t="s">
        <v>84</v>
      </c>
      <c r="DA22" s="75" t="s">
        <v>84</v>
      </c>
      <c r="DF22" s="75" t="s">
        <v>84</v>
      </c>
      <c r="DK22" s="75" t="s">
        <v>84</v>
      </c>
      <c r="DP22" s="75" t="s">
        <v>84</v>
      </c>
      <c r="DU22" s="75" t="s">
        <v>84</v>
      </c>
      <c r="DZ22" s="75" t="s">
        <v>84</v>
      </c>
      <c r="EE22" s="75" t="s">
        <v>84</v>
      </c>
      <c r="EJ22" s="75" t="s">
        <v>85</v>
      </c>
    </row>
    <row r="23" spans="1:140" x14ac:dyDescent="0.3">
      <c r="A23" s="35" t="s">
        <v>95</v>
      </c>
      <c r="B23" s="36">
        <v>0.16666666666666666</v>
      </c>
      <c r="C23" s="37">
        <v>1</v>
      </c>
      <c r="D23" s="44" t="s">
        <v>97</v>
      </c>
      <c r="E23" s="38" t="s">
        <v>53</v>
      </c>
      <c r="F23" s="39" t="s">
        <v>30</v>
      </c>
      <c r="G23" s="40" t="s">
        <v>41</v>
      </c>
      <c r="H23" s="2"/>
      <c r="I23" s="41"/>
      <c r="J23" s="39" t="s">
        <v>30</v>
      </c>
      <c r="K23" s="42"/>
      <c r="L23" s="44" t="str">
        <f t="shared" si="0"/>
        <v>DRAW</v>
      </c>
      <c r="M23" s="43"/>
      <c r="N23" s="41"/>
      <c r="O23" s="39" t="s">
        <v>30</v>
      </c>
      <c r="P23" s="42"/>
      <c r="Q23" s="44" t="b">
        <f t="shared" si="1"/>
        <v>1</v>
      </c>
      <c r="R23" s="44" t="str">
        <f t="shared" si="2"/>
        <v>DRAW</v>
      </c>
      <c r="S23" s="44">
        <f t="shared" si="3"/>
        <v>1</v>
      </c>
      <c r="T23" s="2"/>
      <c r="U23" s="41">
        <v>2</v>
      </c>
      <c r="V23" s="39" t="s">
        <v>30</v>
      </c>
      <c r="W23" s="42">
        <v>0</v>
      </c>
      <c r="X23" s="44" t="b">
        <f t="shared" si="4"/>
        <v>0</v>
      </c>
      <c r="Y23" s="44" t="str">
        <f t="shared" si="5"/>
        <v>ARGENTINA</v>
      </c>
      <c r="Z23" s="44">
        <f t="shared" si="6"/>
        <v>0</v>
      </c>
      <c r="AA23" s="2"/>
      <c r="AB23" s="41"/>
      <c r="AC23" s="39" t="s">
        <v>30</v>
      </c>
      <c r="AD23" s="42"/>
      <c r="AE23" s="44" t="b">
        <f t="shared" si="7"/>
        <v>1</v>
      </c>
      <c r="AF23" s="44" t="str">
        <f t="shared" si="8"/>
        <v>DRAW</v>
      </c>
      <c r="AG23" s="44">
        <f t="shared" si="9"/>
        <v>1</v>
      </c>
      <c r="AH23" s="45"/>
      <c r="AK23" s="48">
        <v>1</v>
      </c>
      <c r="AL23" s="76"/>
      <c r="AM23" s="46"/>
      <c r="AN23" s="48">
        <f>IF(AL23=AL$5,1,0)</f>
        <v>0</v>
      </c>
      <c r="AP23" s="46">
        <v>1</v>
      </c>
      <c r="AQ23" s="77"/>
      <c r="AR23" s="46"/>
      <c r="AS23" s="48">
        <f>IF(AQ23=AQ$5,1,0)</f>
        <v>0</v>
      </c>
      <c r="AU23" s="48">
        <v>1</v>
      </c>
      <c r="AV23" s="61"/>
      <c r="AW23" s="46"/>
      <c r="AX23" s="48">
        <f>IF(AV23=AV$5,1,0)</f>
        <v>0</v>
      </c>
      <c r="AZ23" s="46">
        <v>1</v>
      </c>
      <c r="BA23" s="76"/>
      <c r="BB23" s="46"/>
      <c r="BC23" s="48">
        <f>IF(BA23=BA$5,1,0)</f>
        <v>0</v>
      </c>
      <c r="BE23" s="46">
        <v>1</v>
      </c>
      <c r="BF23" s="61"/>
      <c r="BG23" s="46"/>
      <c r="BH23" s="48">
        <f>IF(BF23=BF$5,1,0)</f>
        <v>0</v>
      </c>
      <c r="BJ23" s="46">
        <v>1</v>
      </c>
      <c r="BK23" s="61"/>
      <c r="BL23" s="46"/>
      <c r="BM23" s="48">
        <f>IF(BK23=BK$5,1,0)</f>
        <v>0</v>
      </c>
      <c r="BO23" s="46">
        <v>1</v>
      </c>
      <c r="BP23" s="61"/>
      <c r="BQ23" s="46"/>
      <c r="BR23" s="48">
        <f>IF(BP23=BP$5,1,0)</f>
        <v>0</v>
      </c>
      <c r="BT23" s="46">
        <v>1</v>
      </c>
      <c r="BU23" s="61"/>
      <c r="BV23" s="46"/>
      <c r="BW23" s="46">
        <f>IF(BU23=BU$5,1,0)</f>
        <v>0</v>
      </c>
      <c r="BY23" s="46">
        <v>1</v>
      </c>
      <c r="BZ23" s="61"/>
      <c r="CA23" s="46"/>
      <c r="CB23" s="48">
        <f>IF(BZ23=BZ$5,1,0)</f>
        <v>0</v>
      </c>
      <c r="CD23" s="46">
        <v>1</v>
      </c>
      <c r="CE23" s="61"/>
      <c r="CF23" s="46"/>
      <c r="CG23" s="48">
        <f>IF(CE23=CE$5,1,0)</f>
        <v>0</v>
      </c>
      <c r="CI23" s="46">
        <v>1</v>
      </c>
      <c r="CJ23" s="61"/>
      <c r="CK23" s="46"/>
      <c r="CL23" s="48">
        <f>IF(CJ23=CJ$5,1,0)</f>
        <v>0</v>
      </c>
      <c r="CN23" s="46">
        <v>1</v>
      </c>
      <c r="CO23" s="61"/>
      <c r="CP23" s="46"/>
      <c r="CQ23" s="46">
        <f>IF(CO23=CO$5,1,0)</f>
        <v>0</v>
      </c>
      <c r="CS23" s="62"/>
      <c r="CT23" s="63" t="s">
        <v>30</v>
      </c>
      <c r="CU23" s="64"/>
      <c r="CV23" s="48"/>
      <c r="CX23" s="62"/>
      <c r="CY23" s="63" t="s">
        <v>30</v>
      </c>
      <c r="CZ23" s="64"/>
      <c r="DA23" s="48"/>
      <c r="DC23" s="62"/>
      <c r="DD23" s="63" t="s">
        <v>30</v>
      </c>
      <c r="DE23" s="64"/>
      <c r="DF23" s="48"/>
      <c r="DH23" s="62"/>
      <c r="DI23" s="63" t="s">
        <v>30</v>
      </c>
      <c r="DJ23" s="64"/>
      <c r="DK23" s="48"/>
      <c r="DM23" s="62"/>
      <c r="DN23" s="63" t="s">
        <v>30</v>
      </c>
      <c r="DO23" s="64"/>
      <c r="DP23" s="48"/>
      <c r="DR23" s="62"/>
      <c r="DS23" s="63" t="s">
        <v>30</v>
      </c>
      <c r="DT23" s="64"/>
      <c r="DU23" s="48"/>
      <c r="DW23" s="62">
        <f>DP23</f>
        <v>0</v>
      </c>
      <c r="DX23" s="63" t="s">
        <v>30</v>
      </c>
      <c r="DY23" s="64">
        <f>DP24</f>
        <v>0</v>
      </c>
      <c r="DZ23" s="48"/>
      <c r="EB23" s="62">
        <f>DZ23</f>
        <v>0</v>
      </c>
      <c r="EC23" s="63" t="s">
        <v>30</v>
      </c>
      <c r="ED23" s="64">
        <f>DZ24</f>
        <v>0</v>
      </c>
      <c r="EE23" s="48"/>
      <c r="EG23" s="62">
        <f>EE23</f>
        <v>0</v>
      </c>
      <c r="EH23" s="63" t="s">
        <v>30</v>
      </c>
      <c r="EI23" s="64">
        <f>EE24</f>
        <v>0</v>
      </c>
      <c r="EJ23" s="48"/>
    </row>
    <row r="24" spans="1:140" ht="14.95" thickBot="1" x14ac:dyDescent="0.35">
      <c r="A24" s="35" t="s">
        <v>95</v>
      </c>
      <c r="B24" s="36">
        <v>0.29166666666666669</v>
      </c>
      <c r="C24" s="37">
        <v>1</v>
      </c>
      <c r="D24" s="44" t="s">
        <v>97</v>
      </c>
      <c r="E24" s="38" t="s">
        <v>65</v>
      </c>
      <c r="F24" s="39" t="s">
        <v>30</v>
      </c>
      <c r="G24" s="40" t="s">
        <v>78</v>
      </c>
      <c r="H24" s="2"/>
      <c r="I24" s="41"/>
      <c r="J24" s="39" t="s">
        <v>30</v>
      </c>
      <c r="K24" s="42"/>
      <c r="L24" s="44" t="str">
        <f t="shared" si="0"/>
        <v>DRAW</v>
      </c>
      <c r="M24" s="43"/>
      <c r="N24" s="41"/>
      <c r="O24" s="39" t="s">
        <v>30</v>
      </c>
      <c r="P24" s="42"/>
      <c r="Q24" s="44" t="b">
        <f t="shared" si="1"/>
        <v>1</v>
      </c>
      <c r="R24" s="44" t="str">
        <f t="shared" si="2"/>
        <v>DRAW</v>
      </c>
      <c r="S24" s="44">
        <f t="shared" si="3"/>
        <v>1</v>
      </c>
      <c r="T24" s="2"/>
      <c r="U24" s="41">
        <v>3</v>
      </c>
      <c r="V24" s="39" t="s">
        <v>30</v>
      </c>
      <c r="W24" s="42">
        <v>0</v>
      </c>
      <c r="X24" s="44" t="b">
        <f t="shared" si="4"/>
        <v>0</v>
      </c>
      <c r="Y24" s="44" t="str">
        <f t="shared" si="5"/>
        <v>AUSTRIA</v>
      </c>
      <c r="Z24" s="44">
        <f t="shared" si="6"/>
        <v>0</v>
      </c>
      <c r="AA24" s="2"/>
      <c r="AB24" s="41"/>
      <c r="AC24" s="39" t="s">
        <v>30</v>
      </c>
      <c r="AD24" s="42"/>
      <c r="AE24" s="44" t="b">
        <f t="shared" si="7"/>
        <v>1</v>
      </c>
      <c r="AF24" s="44" t="str">
        <f t="shared" si="8"/>
        <v>DRAW</v>
      </c>
      <c r="AG24" s="44">
        <f t="shared" si="9"/>
        <v>1</v>
      </c>
      <c r="AH24" s="45"/>
      <c r="AK24" s="78">
        <v>2</v>
      </c>
      <c r="AL24" s="61"/>
      <c r="AM24" s="53"/>
      <c r="AN24" s="78">
        <f>IF(AL24=AL$6,1,0)</f>
        <v>0</v>
      </c>
      <c r="AP24" s="53">
        <v>2</v>
      </c>
      <c r="AQ24" s="65"/>
      <c r="AR24" s="53"/>
      <c r="AS24" s="53">
        <f>IF(AQ24=AQ$6,1,0)</f>
        <v>0</v>
      </c>
      <c r="AU24" s="53">
        <v>2</v>
      </c>
      <c r="AV24" s="65"/>
      <c r="AW24" s="53"/>
      <c r="AX24" s="53">
        <f>IF(AV24=AV$6,1,0)</f>
        <v>0</v>
      </c>
      <c r="AZ24" s="53">
        <v>2</v>
      </c>
      <c r="BA24" s="61"/>
      <c r="BB24" s="53"/>
      <c r="BC24" s="53">
        <f>IF(BA24=BA$6,1,0)</f>
        <v>0</v>
      </c>
      <c r="BE24" s="53">
        <v>2</v>
      </c>
      <c r="BF24" s="65"/>
      <c r="BG24" s="53"/>
      <c r="BH24" s="53">
        <f>IF(BF24=BF$6,1,0)</f>
        <v>0</v>
      </c>
      <c r="BJ24" s="53">
        <v>2</v>
      </c>
      <c r="BK24" s="65"/>
      <c r="BL24" s="53"/>
      <c r="BM24" s="53">
        <f>IF(BK24=BK$6,1,0)</f>
        <v>0</v>
      </c>
      <c r="BO24" s="53">
        <v>2</v>
      </c>
      <c r="BP24" s="65"/>
      <c r="BQ24" s="53"/>
      <c r="BR24" s="53">
        <f>IF(BP24=BP$6,1,0)</f>
        <v>0</v>
      </c>
      <c r="BT24" s="53">
        <v>2</v>
      </c>
      <c r="BU24" s="65"/>
      <c r="BV24" s="53"/>
      <c r="BW24" s="53">
        <f>IF(BU24=BU$6,1,0)</f>
        <v>0</v>
      </c>
      <c r="BY24" s="53">
        <v>2</v>
      </c>
      <c r="BZ24" s="65"/>
      <c r="CA24" s="53"/>
      <c r="CB24" s="53">
        <f>IF(BZ24=BZ$6,1,0)</f>
        <v>0</v>
      </c>
      <c r="CD24" s="53">
        <v>2</v>
      </c>
      <c r="CE24" s="65"/>
      <c r="CF24" s="53"/>
      <c r="CG24" s="53">
        <f>IF(CE24=CE$6,1,0)</f>
        <v>0</v>
      </c>
      <c r="CI24" s="53">
        <v>2</v>
      </c>
      <c r="CJ24" s="65"/>
      <c r="CK24" s="53"/>
      <c r="CL24" s="53">
        <f>IF(CJ24=CJ$6,1,0)</f>
        <v>0</v>
      </c>
      <c r="CN24" s="53">
        <v>2</v>
      </c>
      <c r="CO24" s="65"/>
      <c r="CP24" s="53"/>
      <c r="CQ24" s="53">
        <f>IF(CO24=CO$6,1,0)</f>
        <v>0</v>
      </c>
      <c r="CS24" s="62"/>
      <c r="CT24" s="63" t="s">
        <v>30</v>
      </c>
      <c r="CU24" s="64"/>
      <c r="CV24" s="48"/>
      <c r="CX24" s="62"/>
      <c r="CY24" s="63" t="s">
        <v>30</v>
      </c>
      <c r="CZ24" s="64"/>
      <c r="DA24" s="48"/>
      <c r="DC24" s="62"/>
      <c r="DD24" s="63" t="s">
        <v>30</v>
      </c>
      <c r="DE24" s="64"/>
      <c r="DF24" s="48"/>
      <c r="DH24" s="62"/>
      <c r="DI24" s="63" t="s">
        <v>30</v>
      </c>
      <c r="DJ24" s="64"/>
      <c r="DK24" s="48"/>
      <c r="DM24" s="62"/>
      <c r="DN24" s="63" t="s">
        <v>30</v>
      </c>
      <c r="DO24" s="64"/>
      <c r="DP24" s="48"/>
      <c r="DR24" s="62"/>
      <c r="DS24" s="63" t="s">
        <v>30</v>
      </c>
      <c r="DT24" s="64"/>
      <c r="DU24" s="48"/>
      <c r="DW24" s="62">
        <f>DP25</f>
        <v>0</v>
      </c>
      <c r="DX24" s="63" t="s">
        <v>30</v>
      </c>
      <c r="DY24" s="64">
        <f>DP26</f>
        <v>0</v>
      </c>
      <c r="DZ24" s="48"/>
      <c r="EB24" s="62">
        <f>DZ25</f>
        <v>0</v>
      </c>
      <c r="EC24" s="63" t="s">
        <v>30</v>
      </c>
      <c r="ED24" s="64">
        <f>DZ26</f>
        <v>0</v>
      </c>
      <c r="EE24" s="48"/>
      <c r="EG24" s="62">
        <f>IF(EB23=EE23,ED23,EB23)</f>
        <v>0</v>
      </c>
      <c r="EH24" s="63" t="s">
        <v>30</v>
      </c>
      <c r="EI24" s="64">
        <f>IF(EB24=EE24,ED24,EB24)</f>
        <v>0</v>
      </c>
      <c r="EJ24" s="48"/>
    </row>
    <row r="25" spans="1:140" x14ac:dyDescent="0.3">
      <c r="A25" s="35" t="s">
        <v>95</v>
      </c>
      <c r="B25" s="36">
        <v>0.83333333333333337</v>
      </c>
      <c r="C25" s="37">
        <v>1</v>
      </c>
      <c r="D25" s="44" t="s">
        <v>98</v>
      </c>
      <c r="E25" s="38" t="s">
        <v>66</v>
      </c>
      <c r="F25" s="39" t="s">
        <v>30</v>
      </c>
      <c r="G25" s="40" t="s">
        <v>54</v>
      </c>
      <c r="H25" s="2"/>
      <c r="I25" s="41"/>
      <c r="J25" s="39" t="s">
        <v>30</v>
      </c>
      <c r="K25" s="42"/>
      <c r="L25" s="44" t="str">
        <f t="shared" si="0"/>
        <v>DRAW</v>
      </c>
      <c r="M25" s="43"/>
      <c r="N25" s="41"/>
      <c r="O25" s="39" t="s">
        <v>30</v>
      </c>
      <c r="P25" s="42"/>
      <c r="Q25" s="44" t="b">
        <f t="shared" si="1"/>
        <v>1</v>
      </c>
      <c r="R25" s="44" t="str">
        <f t="shared" si="2"/>
        <v>DRAW</v>
      </c>
      <c r="S25" s="44">
        <f t="shared" si="3"/>
        <v>1</v>
      </c>
      <c r="T25" s="2"/>
      <c r="U25" s="41">
        <v>4</v>
      </c>
      <c r="V25" s="39" t="s">
        <v>30</v>
      </c>
      <c r="W25" s="42">
        <v>1</v>
      </c>
      <c r="X25" s="44" t="b">
        <f t="shared" si="4"/>
        <v>0</v>
      </c>
      <c r="Y25" s="44" t="str">
        <f t="shared" si="5"/>
        <v>PORTUGAL</v>
      </c>
      <c r="Z25" s="44">
        <f t="shared" si="6"/>
        <v>0</v>
      </c>
      <c r="AA25" s="2"/>
      <c r="AB25" s="41"/>
      <c r="AC25" s="39" t="s">
        <v>30</v>
      </c>
      <c r="AD25" s="42"/>
      <c r="AE25" s="44" t="b">
        <f t="shared" si="7"/>
        <v>1</v>
      </c>
      <c r="AF25" s="44" t="str">
        <f t="shared" si="8"/>
        <v>DRAW</v>
      </c>
      <c r="AG25" s="44">
        <f t="shared" si="9"/>
        <v>1</v>
      </c>
      <c r="AH25" s="45"/>
      <c r="AK25" s="54">
        <v>3</v>
      </c>
      <c r="AL25" s="66"/>
      <c r="AM25" s="54"/>
      <c r="AN25" s="54">
        <f>IF(AL25=AL$7,1,0)</f>
        <v>0</v>
      </c>
      <c r="AP25" s="54">
        <v>3</v>
      </c>
      <c r="AQ25" s="66"/>
      <c r="AR25" s="54"/>
      <c r="AS25" s="54">
        <f>IF(AQ25=AQ$7,1,0)</f>
        <v>0</v>
      </c>
      <c r="AU25" s="54">
        <v>3</v>
      </c>
      <c r="AV25" s="66"/>
      <c r="AW25" s="54"/>
      <c r="AX25" s="54">
        <f>IF(AV25=AV$7,1,0)</f>
        <v>0</v>
      </c>
      <c r="AZ25" s="54">
        <v>3</v>
      </c>
      <c r="BA25" s="66"/>
      <c r="BB25" s="54"/>
      <c r="BC25" s="54">
        <f>IF(BA25=BA$7,1,0)</f>
        <v>0</v>
      </c>
      <c r="BE25" s="54">
        <v>3</v>
      </c>
      <c r="BF25" s="66"/>
      <c r="BG25" s="54"/>
      <c r="BH25" s="54">
        <f>IF(BF25=BF$7,1,0)</f>
        <v>0</v>
      </c>
      <c r="BJ25" s="54">
        <v>3</v>
      </c>
      <c r="BK25" s="66"/>
      <c r="BL25" s="54"/>
      <c r="BM25" s="54">
        <f>IF(BK25=BK$7,1,0)</f>
        <v>0</v>
      </c>
      <c r="BO25" s="54">
        <v>3</v>
      </c>
      <c r="BP25" s="66"/>
      <c r="BQ25" s="54"/>
      <c r="BR25" s="54">
        <f>IF(BP25=BP$7,1,0)</f>
        <v>0</v>
      </c>
      <c r="BT25" s="54">
        <v>3</v>
      </c>
      <c r="BU25" s="61"/>
      <c r="BV25" s="54"/>
      <c r="BW25" s="54">
        <f>IF(BU25=BU$7,1,0)</f>
        <v>0</v>
      </c>
      <c r="BY25" s="54">
        <v>3</v>
      </c>
      <c r="BZ25" s="66"/>
      <c r="CA25" s="54"/>
      <c r="CB25" s="54">
        <f>IF(BZ25=BZ$7,1,0)</f>
        <v>0</v>
      </c>
      <c r="CD25" s="54">
        <v>3</v>
      </c>
      <c r="CE25" s="66"/>
      <c r="CF25" s="54"/>
      <c r="CG25" s="54">
        <f>IF(CE25=CE$7,1,0)</f>
        <v>0</v>
      </c>
      <c r="CI25" s="54">
        <v>3</v>
      </c>
      <c r="CJ25" s="66"/>
      <c r="CK25" s="54"/>
      <c r="CL25" s="54">
        <f>IF(CJ25=CJ$7,1,0)</f>
        <v>0</v>
      </c>
      <c r="CN25" s="54">
        <v>3</v>
      </c>
      <c r="CO25" s="61"/>
      <c r="CP25" s="54"/>
      <c r="CQ25" s="54">
        <f>IF(CO25=CO$7,1,0)</f>
        <v>0</v>
      </c>
      <c r="CS25" s="62"/>
      <c r="CT25" s="63" t="s">
        <v>30</v>
      </c>
      <c r="CU25" s="64"/>
      <c r="CV25" s="48"/>
      <c r="CX25" s="62"/>
      <c r="CY25" s="63" t="s">
        <v>30</v>
      </c>
      <c r="CZ25" s="64"/>
      <c r="DA25" s="48"/>
      <c r="DC25" s="62"/>
      <c r="DD25" s="63" t="s">
        <v>30</v>
      </c>
      <c r="DE25" s="64"/>
      <c r="DF25" s="48"/>
      <c r="DH25" s="62"/>
      <c r="DI25" s="63" t="s">
        <v>30</v>
      </c>
      <c r="DJ25" s="64"/>
      <c r="DK25" s="48"/>
      <c r="DM25" s="62"/>
      <c r="DN25" s="63" t="s">
        <v>30</v>
      </c>
      <c r="DO25" s="64"/>
      <c r="DP25" s="48"/>
      <c r="DR25" s="62"/>
      <c r="DS25" s="63" t="s">
        <v>30</v>
      </c>
      <c r="DT25" s="64"/>
      <c r="DU25" s="48"/>
      <c r="DW25" s="62">
        <f>DU23</f>
        <v>0</v>
      </c>
      <c r="DX25" s="63" t="s">
        <v>30</v>
      </c>
      <c r="DY25" s="64">
        <f>DU24</f>
        <v>0</v>
      </c>
      <c r="DZ25" s="48"/>
    </row>
    <row r="26" spans="1:140" x14ac:dyDescent="0.3">
      <c r="A26" s="35" t="s">
        <v>95</v>
      </c>
      <c r="B26" s="36">
        <v>0.95833333333333337</v>
      </c>
      <c r="C26" s="37">
        <v>1</v>
      </c>
      <c r="D26" s="44" t="s">
        <v>99</v>
      </c>
      <c r="E26" s="38" t="s">
        <v>55</v>
      </c>
      <c r="F26" s="39" t="s">
        <v>30</v>
      </c>
      <c r="G26" s="40" t="s">
        <v>43</v>
      </c>
      <c r="H26" s="2"/>
      <c r="I26" s="41"/>
      <c r="J26" s="39" t="s">
        <v>30</v>
      </c>
      <c r="K26" s="42"/>
      <c r="L26" s="44" t="str">
        <f t="shared" si="0"/>
        <v>DRAW</v>
      </c>
      <c r="M26" s="43"/>
      <c r="N26" s="41"/>
      <c r="O26" s="39" t="s">
        <v>30</v>
      </c>
      <c r="P26" s="42"/>
      <c r="Q26" s="44" t="b">
        <f t="shared" si="1"/>
        <v>1</v>
      </c>
      <c r="R26" s="44" t="str">
        <f t="shared" si="2"/>
        <v>DRAW</v>
      </c>
      <c r="S26" s="44">
        <f t="shared" si="3"/>
        <v>1</v>
      </c>
      <c r="T26" s="2"/>
      <c r="U26" s="41">
        <v>2</v>
      </c>
      <c r="V26" s="39" t="s">
        <v>30</v>
      </c>
      <c r="W26" s="42">
        <v>1</v>
      </c>
      <c r="X26" s="44" t="b">
        <f t="shared" si="4"/>
        <v>0</v>
      </c>
      <c r="Y26" s="44" t="str">
        <f t="shared" si="5"/>
        <v>ENGLAND</v>
      </c>
      <c r="Z26" s="44">
        <f t="shared" si="6"/>
        <v>0</v>
      </c>
      <c r="AA26" s="2"/>
      <c r="AB26" s="41"/>
      <c r="AC26" s="39" t="s">
        <v>30</v>
      </c>
      <c r="AD26" s="42"/>
      <c r="AE26" s="44" t="b">
        <f t="shared" si="7"/>
        <v>1</v>
      </c>
      <c r="AF26" s="44" t="str">
        <f t="shared" si="8"/>
        <v>DRAW</v>
      </c>
      <c r="AG26" s="44">
        <f t="shared" si="9"/>
        <v>1</v>
      </c>
      <c r="AH26" s="45"/>
      <c r="AK26" s="46">
        <v>4</v>
      </c>
      <c r="AL26" s="61"/>
      <c r="AM26" s="46"/>
      <c r="AN26" s="46">
        <f>IF(AL26=AL$8,1,0)</f>
        <v>0</v>
      </c>
      <c r="AP26" s="46">
        <v>4</v>
      </c>
      <c r="AQ26" s="61"/>
      <c r="AR26" s="46"/>
      <c r="AS26" s="46">
        <f>IF(AQ26=AQ$8,1,0)</f>
        <v>0</v>
      </c>
      <c r="AU26" s="46">
        <v>4</v>
      </c>
      <c r="AV26" s="61"/>
      <c r="AW26" s="46"/>
      <c r="AX26" s="46">
        <f>IF(AV26=AV$8,1,0)</f>
        <v>0</v>
      </c>
      <c r="AZ26" s="46">
        <v>4</v>
      </c>
      <c r="BA26" s="61"/>
      <c r="BB26" s="46"/>
      <c r="BC26" s="46">
        <f>IF(BA26=BA$8,1,0)</f>
        <v>0</v>
      </c>
      <c r="BE26" s="46">
        <v>4</v>
      </c>
      <c r="BF26" s="61"/>
      <c r="BG26" s="46"/>
      <c r="BH26" s="46">
        <f>IF(BF26=BF$8,1,0)</f>
        <v>0</v>
      </c>
      <c r="BJ26" s="46">
        <v>4</v>
      </c>
      <c r="BK26" s="61"/>
      <c r="BL26" s="46"/>
      <c r="BM26" s="46">
        <f>IF(BK26=BK$8,1,0)</f>
        <v>0</v>
      </c>
      <c r="BO26" s="46">
        <v>4</v>
      </c>
      <c r="BP26" s="61"/>
      <c r="BQ26" s="46"/>
      <c r="BR26" s="46">
        <f>IF(BP26=BP$8,1,0)</f>
        <v>0</v>
      </c>
      <c r="BT26" s="46">
        <v>4</v>
      </c>
      <c r="BU26" s="61"/>
      <c r="BV26" s="46"/>
      <c r="BW26" s="46">
        <f>IF(BU26=BU$8,1,0)</f>
        <v>0</v>
      </c>
      <c r="BY26" s="46">
        <v>4</v>
      </c>
      <c r="BZ26" s="61"/>
      <c r="CA26" s="46"/>
      <c r="CB26" s="46">
        <f>IF(BZ26=BZ$8,1,0)</f>
        <v>0</v>
      </c>
      <c r="CD26" s="46">
        <v>4</v>
      </c>
      <c r="CE26" s="61"/>
      <c r="CF26" s="46"/>
      <c r="CG26" s="46">
        <f>IF(CE26=CE$8,1,0)</f>
        <v>0</v>
      </c>
      <c r="CI26" s="46">
        <v>4</v>
      </c>
      <c r="CJ26" s="61"/>
      <c r="CK26" s="46"/>
      <c r="CL26" s="46">
        <f>IF(CJ26=CJ$8,1,0)</f>
        <v>0</v>
      </c>
      <c r="CN26" s="46">
        <v>4</v>
      </c>
      <c r="CO26" s="61"/>
      <c r="CP26" s="46"/>
      <c r="CQ26" s="46">
        <f>IF(CO26=CO$8,1,0)</f>
        <v>0</v>
      </c>
      <c r="CS26" s="62"/>
      <c r="CT26" s="63" t="s">
        <v>30</v>
      </c>
      <c r="CU26" s="64"/>
      <c r="CV26" s="48"/>
      <c r="CX26" s="62"/>
      <c r="CY26" s="63" t="s">
        <v>30</v>
      </c>
      <c r="CZ26" s="64"/>
      <c r="DA26" s="48"/>
      <c r="DC26" s="62"/>
      <c r="DD26" s="63" t="s">
        <v>30</v>
      </c>
      <c r="DE26" s="64"/>
      <c r="DF26" s="48"/>
      <c r="DH26" s="62"/>
      <c r="DI26" s="63" t="s">
        <v>30</v>
      </c>
      <c r="DJ26" s="64"/>
      <c r="DK26" s="48"/>
      <c r="DM26" s="62"/>
      <c r="DN26" s="63" t="s">
        <v>30</v>
      </c>
      <c r="DO26" s="64"/>
      <c r="DP26" s="48"/>
      <c r="DR26" s="62"/>
      <c r="DS26" s="63" t="s">
        <v>30</v>
      </c>
      <c r="DT26" s="64"/>
      <c r="DU26" s="48"/>
      <c r="DW26" s="62">
        <f>DU25</f>
        <v>0</v>
      </c>
      <c r="DX26" s="63" t="s">
        <v>30</v>
      </c>
      <c r="DY26" s="64">
        <f>DU26</f>
        <v>0</v>
      </c>
      <c r="DZ26" s="48"/>
    </row>
    <row r="27" spans="1:140" x14ac:dyDescent="0.3">
      <c r="A27" s="35" t="s">
        <v>100</v>
      </c>
      <c r="B27" s="36">
        <v>8.3333333333333329E-2</v>
      </c>
      <c r="C27" s="37">
        <v>1</v>
      </c>
      <c r="D27" s="44" t="s">
        <v>99</v>
      </c>
      <c r="E27" s="38" t="s">
        <v>67</v>
      </c>
      <c r="F27" s="39" t="s">
        <v>30</v>
      </c>
      <c r="G27" s="40" t="s">
        <v>80</v>
      </c>
      <c r="H27" s="2"/>
      <c r="I27" s="41"/>
      <c r="J27" s="39" t="s">
        <v>30</v>
      </c>
      <c r="K27" s="42"/>
      <c r="L27" s="44" t="str">
        <f t="shared" si="0"/>
        <v>DRAW</v>
      </c>
      <c r="M27" s="43"/>
      <c r="N27" s="41"/>
      <c r="O27" s="39" t="s">
        <v>30</v>
      </c>
      <c r="P27" s="42"/>
      <c r="Q27" s="44" t="b">
        <f t="shared" si="1"/>
        <v>1</v>
      </c>
      <c r="R27" s="44" t="str">
        <f t="shared" si="2"/>
        <v>DRAW</v>
      </c>
      <c r="S27" s="44">
        <f t="shared" si="3"/>
        <v>1</v>
      </c>
      <c r="T27" s="2"/>
      <c r="U27" s="41">
        <v>0</v>
      </c>
      <c r="V27" s="39" t="s">
        <v>30</v>
      </c>
      <c r="W27" s="42">
        <v>0</v>
      </c>
      <c r="X27" s="44" t="b">
        <f t="shared" si="4"/>
        <v>1</v>
      </c>
      <c r="Y27" s="44" t="str">
        <f t="shared" si="5"/>
        <v>DRAW</v>
      </c>
      <c r="Z27" s="44">
        <f t="shared" si="6"/>
        <v>1</v>
      </c>
      <c r="AA27" s="2"/>
      <c r="AB27" s="41"/>
      <c r="AC27" s="39" t="s">
        <v>30</v>
      </c>
      <c r="AD27" s="42"/>
      <c r="AE27" s="44" t="b">
        <f t="shared" si="7"/>
        <v>1</v>
      </c>
      <c r="AF27" s="44" t="str">
        <f t="shared" si="8"/>
        <v>DRAW</v>
      </c>
      <c r="AG27" s="44">
        <f t="shared" si="9"/>
        <v>1</v>
      </c>
      <c r="AH27" s="45"/>
    </row>
    <row r="28" spans="1:140" ht="14.95" thickBot="1" x14ac:dyDescent="0.35">
      <c r="A28" s="79" t="s">
        <v>100</v>
      </c>
      <c r="B28" s="80">
        <v>0.20833333333333334</v>
      </c>
      <c r="C28" s="81">
        <v>1</v>
      </c>
      <c r="D28" s="81" t="s">
        <v>98</v>
      </c>
      <c r="E28" s="82" t="s">
        <v>79</v>
      </c>
      <c r="F28" s="83" t="s">
        <v>30</v>
      </c>
      <c r="G28" s="84" t="s">
        <v>42</v>
      </c>
      <c r="H28" s="2"/>
      <c r="I28" s="85"/>
      <c r="J28" s="83" t="s">
        <v>30</v>
      </c>
      <c r="K28" s="86"/>
      <c r="L28" s="81" t="str">
        <f t="shared" si="0"/>
        <v>DRAW</v>
      </c>
      <c r="M28" s="43"/>
      <c r="N28" s="85"/>
      <c r="O28" s="83" t="s">
        <v>30</v>
      </c>
      <c r="P28" s="86"/>
      <c r="Q28" s="81" t="b">
        <f t="shared" si="1"/>
        <v>1</v>
      </c>
      <c r="R28" s="81" t="str">
        <f t="shared" si="2"/>
        <v>DRAW</v>
      </c>
      <c r="S28" s="81">
        <f t="shared" si="3"/>
        <v>1</v>
      </c>
      <c r="T28" s="2"/>
      <c r="U28" s="85">
        <v>0</v>
      </c>
      <c r="V28" s="83" t="s">
        <v>30</v>
      </c>
      <c r="W28" s="86">
        <v>2</v>
      </c>
      <c r="X28" s="81" t="b">
        <f t="shared" si="4"/>
        <v>0</v>
      </c>
      <c r="Y28" s="81" t="str">
        <f t="shared" si="5"/>
        <v>COLOMBIA</v>
      </c>
      <c r="Z28" s="81">
        <f t="shared" si="6"/>
        <v>0</v>
      </c>
      <c r="AA28" s="2"/>
      <c r="AB28" s="85"/>
      <c r="AC28" s="83" t="s">
        <v>30</v>
      </c>
      <c r="AD28" s="86"/>
      <c r="AE28" s="81" t="b">
        <f t="shared" si="7"/>
        <v>1</v>
      </c>
      <c r="AF28" s="81" t="str">
        <f t="shared" si="8"/>
        <v>DRAW</v>
      </c>
      <c r="AG28" s="81">
        <f t="shared" si="9"/>
        <v>1</v>
      </c>
      <c r="AH28" s="45"/>
    </row>
    <row r="29" spans="1:140" x14ac:dyDescent="0.3">
      <c r="A29" s="35" t="s">
        <v>100</v>
      </c>
      <c r="B29" s="36">
        <v>0.79166666666666663</v>
      </c>
      <c r="C29" s="37">
        <v>2</v>
      </c>
      <c r="D29" s="37" t="s">
        <v>28</v>
      </c>
      <c r="E29" s="87" t="s">
        <v>32</v>
      </c>
      <c r="F29" s="88" t="s">
        <v>30</v>
      </c>
      <c r="G29" s="49" t="s">
        <v>31</v>
      </c>
      <c r="H29" s="2"/>
      <c r="I29" s="47"/>
      <c r="J29" s="88" t="s">
        <v>30</v>
      </c>
      <c r="K29" s="89"/>
      <c r="L29" s="37" t="str">
        <f t="shared" si="0"/>
        <v>DRAW</v>
      </c>
      <c r="M29" s="43"/>
      <c r="N29" s="47"/>
      <c r="O29" s="88" t="s">
        <v>30</v>
      </c>
      <c r="P29" s="89"/>
      <c r="Q29" s="37" t="b">
        <f t="shared" si="1"/>
        <v>1</v>
      </c>
      <c r="R29" s="37" t="str">
        <f t="shared" si="2"/>
        <v>DRAW</v>
      </c>
      <c r="S29" s="37">
        <f t="shared" si="3"/>
        <v>1</v>
      </c>
      <c r="T29" s="2"/>
      <c r="U29" s="47"/>
      <c r="V29" s="88" t="s">
        <v>30</v>
      </c>
      <c r="W29" s="89"/>
      <c r="X29" s="37" t="b">
        <f t="shared" si="4"/>
        <v>1</v>
      </c>
      <c r="Y29" s="37" t="str">
        <f t="shared" si="5"/>
        <v>DRAW</v>
      </c>
      <c r="Z29" s="37">
        <f t="shared" si="6"/>
        <v>1</v>
      </c>
      <c r="AA29" s="2"/>
      <c r="AB29" s="47"/>
      <c r="AC29" s="88" t="s">
        <v>30</v>
      </c>
      <c r="AD29" s="89"/>
      <c r="AE29" s="37" t="b">
        <f t="shared" si="7"/>
        <v>1</v>
      </c>
      <c r="AF29" s="37" t="str">
        <f t="shared" si="8"/>
        <v>DRAW</v>
      </c>
      <c r="AG29" s="37">
        <f t="shared" si="9"/>
        <v>1</v>
      </c>
      <c r="AH29" s="45"/>
    </row>
    <row r="30" spans="1:140" x14ac:dyDescent="0.3">
      <c r="A30" s="35" t="s">
        <v>100</v>
      </c>
      <c r="B30" s="36">
        <v>0.91666666666666663</v>
      </c>
      <c r="C30" s="37">
        <v>2</v>
      </c>
      <c r="D30" s="44" t="s">
        <v>56</v>
      </c>
      <c r="E30" s="38" t="s">
        <v>71</v>
      </c>
      <c r="F30" s="39" t="s">
        <v>30</v>
      </c>
      <c r="G30" s="40" t="s">
        <v>33</v>
      </c>
      <c r="H30" s="2"/>
      <c r="I30" s="41"/>
      <c r="J30" s="39" t="s">
        <v>30</v>
      </c>
      <c r="K30" s="42"/>
      <c r="L30" s="44" t="str">
        <f t="shared" si="0"/>
        <v>DRAW</v>
      </c>
      <c r="M30" s="43"/>
      <c r="N30" s="41"/>
      <c r="O30" s="39" t="s">
        <v>30</v>
      </c>
      <c r="P30" s="42"/>
      <c r="Q30" s="44" t="b">
        <f t="shared" si="1"/>
        <v>1</v>
      </c>
      <c r="R30" s="44" t="str">
        <f t="shared" si="2"/>
        <v>DRAW</v>
      </c>
      <c r="S30" s="44">
        <f t="shared" si="3"/>
        <v>1</v>
      </c>
      <c r="T30" s="2"/>
      <c r="U30" s="41"/>
      <c r="V30" s="39" t="s">
        <v>30</v>
      </c>
      <c r="W30" s="42"/>
      <c r="X30" s="44" t="b">
        <f t="shared" si="4"/>
        <v>1</v>
      </c>
      <c r="Y30" s="44" t="str">
        <f t="shared" si="5"/>
        <v>DRAW</v>
      </c>
      <c r="Z30" s="44">
        <f t="shared" si="6"/>
        <v>1</v>
      </c>
      <c r="AA30" s="2"/>
      <c r="AB30" s="41"/>
      <c r="AC30" s="39" t="s">
        <v>30</v>
      </c>
      <c r="AD30" s="42"/>
      <c r="AE30" s="44" t="b">
        <f t="shared" si="7"/>
        <v>1</v>
      </c>
      <c r="AF30" s="44" t="str">
        <f t="shared" si="8"/>
        <v>DRAW</v>
      </c>
      <c r="AG30" s="44">
        <f t="shared" si="9"/>
        <v>1</v>
      </c>
      <c r="AH30" s="45"/>
    </row>
    <row r="31" spans="1:140" x14ac:dyDescent="0.3">
      <c r="A31" s="35">
        <v>46192</v>
      </c>
      <c r="B31" s="36">
        <v>4.1666666666666664E-2</v>
      </c>
      <c r="C31" s="37">
        <v>2</v>
      </c>
      <c r="D31" s="44" t="s">
        <v>56</v>
      </c>
      <c r="E31" s="38" t="s">
        <v>45</v>
      </c>
      <c r="F31" s="39" t="s">
        <v>30</v>
      </c>
      <c r="G31" s="40" t="s">
        <v>57</v>
      </c>
      <c r="H31" s="2"/>
      <c r="I31" s="41"/>
      <c r="J31" s="39" t="s">
        <v>30</v>
      </c>
      <c r="K31" s="42"/>
      <c r="L31" s="44" t="str">
        <f t="shared" si="0"/>
        <v>DRAW</v>
      </c>
      <c r="M31" s="43"/>
      <c r="N31" s="41"/>
      <c r="O31" s="39" t="s">
        <v>30</v>
      </c>
      <c r="P31" s="42"/>
      <c r="Q31" s="44" t="b">
        <f t="shared" si="1"/>
        <v>1</v>
      </c>
      <c r="R31" s="44" t="str">
        <f t="shared" si="2"/>
        <v>DRAW</v>
      </c>
      <c r="S31" s="44">
        <f t="shared" si="3"/>
        <v>1</v>
      </c>
      <c r="T31" s="2"/>
      <c r="U31" s="41"/>
      <c r="V31" s="39" t="s">
        <v>30</v>
      </c>
      <c r="W31" s="42"/>
      <c r="X31" s="44" t="b">
        <f t="shared" si="4"/>
        <v>1</v>
      </c>
      <c r="Y31" s="44" t="str">
        <f t="shared" si="5"/>
        <v>DRAW</v>
      </c>
      <c r="Z31" s="44">
        <f t="shared" si="6"/>
        <v>1</v>
      </c>
      <c r="AA31" s="2"/>
      <c r="AB31" s="41"/>
      <c r="AC31" s="39" t="s">
        <v>30</v>
      </c>
      <c r="AD31" s="42"/>
      <c r="AE31" s="44" t="b">
        <f t="shared" si="7"/>
        <v>1</v>
      </c>
      <c r="AF31" s="44" t="str">
        <f t="shared" si="8"/>
        <v>DRAW</v>
      </c>
      <c r="AG31" s="44">
        <f t="shared" si="9"/>
        <v>1</v>
      </c>
      <c r="AH31" s="45"/>
    </row>
    <row r="32" spans="1:140" x14ac:dyDescent="0.3">
      <c r="A32" s="35">
        <v>46192</v>
      </c>
      <c r="B32" s="36">
        <v>0.16666666666666666</v>
      </c>
      <c r="C32" s="37">
        <v>2</v>
      </c>
      <c r="D32" s="44" t="s">
        <v>28</v>
      </c>
      <c r="E32" s="38" t="s">
        <v>29</v>
      </c>
      <c r="F32" s="39" t="s">
        <v>30</v>
      </c>
      <c r="G32" s="40" t="s">
        <v>44</v>
      </c>
      <c r="H32" s="2"/>
      <c r="I32" s="41"/>
      <c r="J32" s="39" t="s">
        <v>30</v>
      </c>
      <c r="K32" s="42"/>
      <c r="L32" s="44" t="str">
        <f t="shared" si="0"/>
        <v>DRAW</v>
      </c>
      <c r="M32" s="43"/>
      <c r="N32" s="41"/>
      <c r="O32" s="39" t="s">
        <v>30</v>
      </c>
      <c r="P32" s="42"/>
      <c r="Q32" s="44" t="b">
        <f t="shared" si="1"/>
        <v>1</v>
      </c>
      <c r="R32" s="44" t="str">
        <f t="shared" si="2"/>
        <v>DRAW</v>
      </c>
      <c r="S32" s="44">
        <f t="shared" si="3"/>
        <v>1</v>
      </c>
      <c r="T32" s="2"/>
      <c r="U32" s="41"/>
      <c r="V32" s="39" t="s">
        <v>30</v>
      </c>
      <c r="W32" s="42"/>
      <c r="X32" s="44" t="b">
        <f t="shared" si="4"/>
        <v>1</v>
      </c>
      <c r="Y32" s="44" t="str">
        <f t="shared" si="5"/>
        <v>DRAW</v>
      </c>
      <c r="Z32" s="44">
        <f t="shared" si="6"/>
        <v>1</v>
      </c>
      <c r="AA32" s="2"/>
      <c r="AB32" s="41"/>
      <c r="AC32" s="39" t="s">
        <v>30</v>
      </c>
      <c r="AD32" s="42"/>
      <c r="AE32" s="44" t="b">
        <f t="shared" si="7"/>
        <v>1</v>
      </c>
      <c r="AF32" s="44" t="str">
        <f t="shared" si="8"/>
        <v>DRAW</v>
      </c>
      <c r="AG32" s="44">
        <f t="shared" si="9"/>
        <v>1</v>
      </c>
      <c r="AH32" s="45"/>
    </row>
    <row r="33" spans="1:34" x14ac:dyDescent="0.3">
      <c r="A33" s="35">
        <v>46192</v>
      </c>
      <c r="B33" s="36">
        <v>0.91666666666666663</v>
      </c>
      <c r="C33" s="37">
        <v>2</v>
      </c>
      <c r="D33" s="44" t="s">
        <v>69</v>
      </c>
      <c r="E33" s="38" t="s">
        <v>70</v>
      </c>
      <c r="F33" s="39" t="s">
        <v>30</v>
      </c>
      <c r="G33" s="40" t="s">
        <v>35</v>
      </c>
      <c r="H33" s="2"/>
      <c r="I33" s="41"/>
      <c r="J33" s="39" t="s">
        <v>30</v>
      </c>
      <c r="K33" s="42"/>
      <c r="L33" s="44" t="str">
        <f t="shared" si="0"/>
        <v>DRAW</v>
      </c>
      <c r="M33" s="43"/>
      <c r="N33" s="41"/>
      <c r="O33" s="39" t="s">
        <v>30</v>
      </c>
      <c r="P33" s="42"/>
      <c r="Q33" s="44" t="b">
        <f t="shared" si="1"/>
        <v>1</v>
      </c>
      <c r="R33" s="44" t="str">
        <f t="shared" si="2"/>
        <v>DRAW</v>
      </c>
      <c r="S33" s="44">
        <f t="shared" si="3"/>
        <v>1</v>
      </c>
      <c r="T33" s="2"/>
      <c r="U33" s="41"/>
      <c r="V33" s="39" t="s">
        <v>30</v>
      </c>
      <c r="W33" s="42"/>
      <c r="X33" s="44" t="b">
        <f t="shared" si="4"/>
        <v>1</v>
      </c>
      <c r="Y33" s="44" t="str">
        <f t="shared" si="5"/>
        <v>DRAW</v>
      </c>
      <c r="Z33" s="44">
        <f t="shared" si="6"/>
        <v>1</v>
      </c>
      <c r="AA33" s="2"/>
      <c r="AB33" s="41"/>
      <c r="AC33" s="39" t="s">
        <v>30</v>
      </c>
      <c r="AD33" s="42"/>
      <c r="AE33" s="44" t="b">
        <f t="shared" si="7"/>
        <v>1</v>
      </c>
      <c r="AF33" s="44" t="str">
        <f t="shared" si="8"/>
        <v>DRAW</v>
      </c>
      <c r="AG33" s="44">
        <f t="shared" si="9"/>
        <v>1</v>
      </c>
      <c r="AH33" s="45"/>
    </row>
    <row r="34" spans="1:34" x14ac:dyDescent="0.3">
      <c r="A34" s="35">
        <v>46193</v>
      </c>
      <c r="B34" s="36">
        <v>4.1666666666666664E-2</v>
      </c>
      <c r="C34" s="37">
        <v>2</v>
      </c>
      <c r="D34" s="44" t="s">
        <v>82</v>
      </c>
      <c r="E34" s="38" t="s">
        <v>72</v>
      </c>
      <c r="F34" s="39" t="s">
        <v>30</v>
      </c>
      <c r="G34" s="40" t="s">
        <v>58</v>
      </c>
      <c r="H34" s="2"/>
      <c r="I34" s="41"/>
      <c r="J34" s="39" t="s">
        <v>30</v>
      </c>
      <c r="K34" s="42"/>
      <c r="L34" s="44" t="str">
        <f t="shared" si="0"/>
        <v>DRAW</v>
      </c>
      <c r="M34" s="43"/>
      <c r="N34" s="41"/>
      <c r="O34" s="39" t="s">
        <v>30</v>
      </c>
      <c r="P34" s="42"/>
      <c r="Q34" s="44" t="b">
        <f t="shared" si="1"/>
        <v>1</v>
      </c>
      <c r="R34" s="44" t="str">
        <f t="shared" si="2"/>
        <v>DRAW</v>
      </c>
      <c r="S34" s="44">
        <f t="shared" si="3"/>
        <v>1</v>
      </c>
      <c r="T34" s="2"/>
      <c r="U34" s="41"/>
      <c r="V34" s="39" t="s">
        <v>30</v>
      </c>
      <c r="W34" s="42"/>
      <c r="X34" s="44" t="b">
        <f t="shared" si="4"/>
        <v>1</v>
      </c>
      <c r="Y34" s="44" t="str">
        <f t="shared" si="5"/>
        <v>DRAW</v>
      </c>
      <c r="Z34" s="44">
        <f t="shared" si="6"/>
        <v>1</v>
      </c>
      <c r="AA34" s="2"/>
      <c r="AB34" s="41"/>
      <c r="AC34" s="39" t="s">
        <v>30</v>
      </c>
      <c r="AD34" s="42"/>
      <c r="AE34" s="44" t="b">
        <f t="shared" si="7"/>
        <v>1</v>
      </c>
      <c r="AF34" s="44" t="str">
        <f t="shared" si="8"/>
        <v>DRAW</v>
      </c>
      <c r="AG34" s="44">
        <f t="shared" si="9"/>
        <v>1</v>
      </c>
      <c r="AH34" s="45"/>
    </row>
    <row r="35" spans="1:34" x14ac:dyDescent="0.3">
      <c r="A35" s="35">
        <v>46193</v>
      </c>
      <c r="B35" s="36">
        <v>0.14583333333333334</v>
      </c>
      <c r="C35" s="37">
        <v>2</v>
      </c>
      <c r="D35" s="44" t="s">
        <v>82</v>
      </c>
      <c r="E35" s="38" t="s">
        <v>34</v>
      </c>
      <c r="F35" s="39" t="s">
        <v>30</v>
      </c>
      <c r="G35" s="40" t="s">
        <v>46</v>
      </c>
      <c r="H35" s="2"/>
      <c r="I35" s="41"/>
      <c r="J35" s="39" t="s">
        <v>30</v>
      </c>
      <c r="K35" s="42"/>
      <c r="L35" s="44" t="str">
        <f t="shared" si="0"/>
        <v>DRAW</v>
      </c>
      <c r="M35" s="43"/>
      <c r="N35" s="41"/>
      <c r="O35" s="39" t="s">
        <v>30</v>
      </c>
      <c r="P35" s="42"/>
      <c r="Q35" s="44" t="b">
        <f t="shared" si="1"/>
        <v>1</v>
      </c>
      <c r="R35" s="44" t="str">
        <f>IF(N35&gt;P35,$E35,IF(P35&gt;N35,$G35,"DRAW"))</f>
        <v>DRAW</v>
      </c>
      <c r="S35" s="44">
        <f t="shared" si="3"/>
        <v>1</v>
      </c>
      <c r="T35" s="2"/>
      <c r="U35" s="41"/>
      <c r="V35" s="39" t="s">
        <v>30</v>
      </c>
      <c r="W35" s="42"/>
      <c r="X35" s="44" t="b">
        <f t="shared" si="4"/>
        <v>1</v>
      </c>
      <c r="Y35" s="44" t="str">
        <f t="shared" si="5"/>
        <v>DRAW</v>
      </c>
      <c r="Z35" s="44">
        <f t="shared" si="6"/>
        <v>1</v>
      </c>
      <c r="AA35" s="2"/>
      <c r="AB35" s="41"/>
      <c r="AC35" s="39" t="s">
        <v>30</v>
      </c>
      <c r="AD35" s="42"/>
      <c r="AE35" s="44" t="b">
        <f t="shared" si="7"/>
        <v>1</v>
      </c>
      <c r="AF35" s="44" t="str">
        <f t="shared" si="8"/>
        <v>DRAW</v>
      </c>
      <c r="AG35" s="44">
        <f t="shared" si="9"/>
        <v>1</v>
      </c>
      <c r="AH35" s="45"/>
    </row>
    <row r="36" spans="1:34" x14ac:dyDescent="0.3">
      <c r="A36" s="35">
        <v>46193</v>
      </c>
      <c r="B36" s="36">
        <v>0.25</v>
      </c>
      <c r="C36" s="37">
        <v>2</v>
      </c>
      <c r="D36" s="44" t="s">
        <v>69</v>
      </c>
      <c r="E36" s="38" t="s">
        <v>59</v>
      </c>
      <c r="F36" s="39" t="s">
        <v>30</v>
      </c>
      <c r="G36" s="40" t="s">
        <v>47</v>
      </c>
      <c r="H36" s="2"/>
      <c r="I36" s="41"/>
      <c r="J36" s="39" t="s">
        <v>30</v>
      </c>
      <c r="K36" s="42"/>
      <c r="L36" s="44" t="str">
        <f t="shared" si="0"/>
        <v>DRAW</v>
      </c>
      <c r="M36" s="43"/>
      <c r="N36" s="41"/>
      <c r="O36" s="39" t="s">
        <v>30</v>
      </c>
      <c r="P36" s="42"/>
      <c r="Q36" s="44" t="b">
        <f t="shared" si="1"/>
        <v>1</v>
      </c>
      <c r="R36" s="44" t="str">
        <f t="shared" si="2"/>
        <v>DRAW</v>
      </c>
      <c r="S36" s="44">
        <f t="shared" si="3"/>
        <v>1</v>
      </c>
      <c r="T36" s="2"/>
      <c r="U36" s="41"/>
      <c r="V36" s="39" t="s">
        <v>30</v>
      </c>
      <c r="W36" s="42"/>
      <c r="X36" s="44" t="b">
        <f t="shared" si="4"/>
        <v>1</v>
      </c>
      <c r="Y36" s="44" t="str">
        <f t="shared" si="5"/>
        <v>DRAW</v>
      </c>
      <c r="Z36" s="44">
        <f t="shared" si="6"/>
        <v>1</v>
      </c>
      <c r="AA36" s="2"/>
      <c r="AB36" s="41"/>
      <c r="AC36" s="39" t="s">
        <v>30</v>
      </c>
      <c r="AD36" s="42"/>
      <c r="AE36" s="44" t="b">
        <f t="shared" si="7"/>
        <v>1</v>
      </c>
      <c r="AF36" s="44" t="str">
        <f t="shared" si="8"/>
        <v>DRAW</v>
      </c>
      <c r="AG36" s="44">
        <f t="shared" si="9"/>
        <v>1</v>
      </c>
      <c r="AH36" s="45"/>
    </row>
    <row r="37" spans="1:34" x14ac:dyDescent="0.3">
      <c r="A37" s="35">
        <v>46193</v>
      </c>
      <c r="B37" s="36">
        <v>0.83333333333333337</v>
      </c>
      <c r="C37" s="37">
        <v>2</v>
      </c>
      <c r="D37" s="44" t="s">
        <v>87</v>
      </c>
      <c r="E37" s="38" t="s">
        <v>49</v>
      </c>
      <c r="F37" s="39" t="s">
        <v>30</v>
      </c>
      <c r="G37" s="40" t="s">
        <v>61</v>
      </c>
      <c r="H37" s="2"/>
      <c r="I37" s="41"/>
      <c r="J37" s="39" t="s">
        <v>30</v>
      </c>
      <c r="K37" s="42"/>
      <c r="L37" s="44" t="str">
        <f t="shared" si="0"/>
        <v>DRAW</v>
      </c>
      <c r="M37" s="43"/>
      <c r="N37" s="41"/>
      <c r="O37" s="39" t="s">
        <v>30</v>
      </c>
      <c r="P37" s="42"/>
      <c r="Q37" s="44" t="b">
        <f t="shared" si="1"/>
        <v>1</v>
      </c>
      <c r="R37" s="44" t="str">
        <f t="shared" si="2"/>
        <v>DRAW</v>
      </c>
      <c r="S37" s="44">
        <f t="shared" si="3"/>
        <v>1</v>
      </c>
      <c r="T37" s="2"/>
      <c r="U37" s="41"/>
      <c r="V37" s="39" t="s">
        <v>30</v>
      </c>
      <c r="W37" s="42"/>
      <c r="X37" s="44" t="b">
        <f t="shared" si="4"/>
        <v>1</v>
      </c>
      <c r="Y37" s="44" t="str">
        <f t="shared" si="5"/>
        <v>DRAW</v>
      </c>
      <c r="Z37" s="44">
        <f t="shared" si="6"/>
        <v>1</v>
      </c>
      <c r="AA37" s="2"/>
      <c r="AB37" s="41"/>
      <c r="AC37" s="39" t="s">
        <v>30</v>
      </c>
      <c r="AD37" s="42"/>
      <c r="AE37" s="44" t="b">
        <f t="shared" si="7"/>
        <v>1</v>
      </c>
      <c r="AF37" s="44" t="str">
        <f t="shared" si="8"/>
        <v>DRAW</v>
      </c>
      <c r="AG37" s="44">
        <f t="shared" si="9"/>
        <v>1</v>
      </c>
      <c r="AH37" s="45"/>
    </row>
    <row r="38" spans="1:34" x14ac:dyDescent="0.3">
      <c r="A38" s="35">
        <v>46193</v>
      </c>
      <c r="B38" s="36">
        <v>0.95833333333333337</v>
      </c>
      <c r="C38" s="37">
        <v>2</v>
      </c>
      <c r="D38" s="44" t="s">
        <v>86</v>
      </c>
      <c r="E38" s="38" t="s">
        <v>73</v>
      </c>
      <c r="F38" s="39" t="s">
        <v>30</v>
      </c>
      <c r="G38" s="40" t="s">
        <v>36</v>
      </c>
      <c r="H38" s="2"/>
      <c r="I38" s="41"/>
      <c r="J38" s="39" t="s">
        <v>30</v>
      </c>
      <c r="K38" s="42"/>
      <c r="L38" s="44" t="str">
        <f t="shared" si="0"/>
        <v>DRAW</v>
      </c>
      <c r="M38" s="43"/>
      <c r="N38" s="41"/>
      <c r="O38" s="39" t="s">
        <v>30</v>
      </c>
      <c r="P38" s="42"/>
      <c r="Q38" s="44" t="b">
        <f t="shared" si="1"/>
        <v>1</v>
      </c>
      <c r="R38" s="44" t="str">
        <f t="shared" si="2"/>
        <v>DRAW</v>
      </c>
      <c r="S38" s="44">
        <f t="shared" si="3"/>
        <v>1</v>
      </c>
      <c r="T38" s="2"/>
      <c r="U38" s="41"/>
      <c r="V38" s="39" t="s">
        <v>30</v>
      </c>
      <c r="W38" s="42"/>
      <c r="X38" s="44" t="b">
        <f t="shared" si="4"/>
        <v>1</v>
      </c>
      <c r="Y38" s="44" t="str">
        <f t="shared" si="5"/>
        <v>DRAW</v>
      </c>
      <c r="Z38" s="44">
        <f t="shared" si="6"/>
        <v>1</v>
      </c>
      <c r="AA38" s="2"/>
      <c r="AB38" s="41"/>
      <c r="AC38" s="39" t="s">
        <v>30</v>
      </c>
      <c r="AD38" s="42"/>
      <c r="AE38" s="44" t="b">
        <f t="shared" si="7"/>
        <v>1</v>
      </c>
      <c r="AF38" s="44" t="str">
        <f t="shared" si="8"/>
        <v>DRAW</v>
      </c>
      <c r="AG38" s="44">
        <f t="shared" si="9"/>
        <v>1</v>
      </c>
      <c r="AH38" s="45"/>
    </row>
    <row r="39" spans="1:34" x14ac:dyDescent="0.3">
      <c r="A39" s="35">
        <v>46194</v>
      </c>
      <c r="B39" s="36">
        <v>0.125</v>
      </c>
      <c r="C39" s="37">
        <v>2</v>
      </c>
      <c r="D39" s="44" t="s">
        <v>86</v>
      </c>
      <c r="E39" s="38" t="s">
        <v>60</v>
      </c>
      <c r="F39" s="39" t="s">
        <v>30</v>
      </c>
      <c r="G39" s="40" t="s">
        <v>48</v>
      </c>
      <c r="H39" s="2"/>
      <c r="I39" s="41"/>
      <c r="J39" s="39" t="s">
        <v>30</v>
      </c>
      <c r="K39" s="42"/>
      <c r="L39" s="44" t="str">
        <f t="shared" si="0"/>
        <v>DRAW</v>
      </c>
      <c r="M39" s="43"/>
      <c r="N39" s="41"/>
      <c r="O39" s="39" t="s">
        <v>30</v>
      </c>
      <c r="P39" s="42"/>
      <c r="Q39" s="44" t="b">
        <f t="shared" si="1"/>
        <v>1</v>
      </c>
      <c r="R39" s="44" t="str">
        <f t="shared" si="2"/>
        <v>DRAW</v>
      </c>
      <c r="S39" s="44">
        <f t="shared" si="3"/>
        <v>1</v>
      </c>
      <c r="T39" s="2"/>
      <c r="U39" s="41"/>
      <c r="V39" s="39" t="s">
        <v>30</v>
      </c>
      <c r="W39" s="42"/>
      <c r="X39" s="44" t="b">
        <f t="shared" si="4"/>
        <v>1</v>
      </c>
      <c r="Y39" s="44" t="str">
        <f t="shared" si="5"/>
        <v>DRAW</v>
      </c>
      <c r="Z39" s="44">
        <f t="shared" si="6"/>
        <v>1</v>
      </c>
      <c r="AA39" s="2"/>
      <c r="AB39" s="41"/>
      <c r="AC39" s="39" t="s">
        <v>30</v>
      </c>
      <c r="AD39" s="42"/>
      <c r="AE39" s="44" t="b">
        <f t="shared" si="7"/>
        <v>1</v>
      </c>
      <c r="AF39" s="44" t="str">
        <f t="shared" si="8"/>
        <v>DRAW</v>
      </c>
      <c r="AG39" s="44">
        <f t="shared" si="9"/>
        <v>1</v>
      </c>
      <c r="AH39" s="45"/>
    </row>
    <row r="40" spans="1:34" x14ac:dyDescent="0.3">
      <c r="A40" s="35">
        <v>46194</v>
      </c>
      <c r="B40" s="36">
        <v>0.29166666666666669</v>
      </c>
      <c r="C40" s="37">
        <v>2</v>
      </c>
      <c r="D40" s="44" t="s">
        <v>87</v>
      </c>
      <c r="E40" s="38" t="s">
        <v>74</v>
      </c>
      <c r="F40" s="39" t="s">
        <v>30</v>
      </c>
      <c r="G40" s="40" t="s">
        <v>37</v>
      </c>
      <c r="H40" s="2"/>
      <c r="I40" s="41"/>
      <c r="J40" s="39" t="s">
        <v>30</v>
      </c>
      <c r="K40" s="42"/>
      <c r="L40" s="44" t="str">
        <f t="shared" si="0"/>
        <v>DRAW</v>
      </c>
      <c r="M40" s="43"/>
      <c r="N40" s="41"/>
      <c r="O40" s="39" t="s">
        <v>30</v>
      </c>
      <c r="P40" s="42"/>
      <c r="Q40" s="44" t="b">
        <f t="shared" si="1"/>
        <v>1</v>
      </c>
      <c r="R40" s="44" t="str">
        <f t="shared" si="2"/>
        <v>DRAW</v>
      </c>
      <c r="S40" s="44">
        <f t="shared" si="3"/>
        <v>1</v>
      </c>
      <c r="T40" s="2"/>
      <c r="U40" s="41"/>
      <c r="V40" s="39" t="s">
        <v>30</v>
      </c>
      <c r="W40" s="42"/>
      <c r="X40" s="44" t="b">
        <f t="shared" si="4"/>
        <v>1</v>
      </c>
      <c r="Y40" s="44" t="str">
        <f t="shared" si="5"/>
        <v>DRAW</v>
      </c>
      <c r="Z40" s="44">
        <f t="shared" si="6"/>
        <v>1</v>
      </c>
      <c r="AA40" s="2"/>
      <c r="AB40" s="41"/>
      <c r="AC40" s="39" t="s">
        <v>30</v>
      </c>
      <c r="AD40" s="42"/>
      <c r="AE40" s="44" t="b">
        <f t="shared" si="7"/>
        <v>1</v>
      </c>
      <c r="AF40" s="44" t="str">
        <f t="shared" si="8"/>
        <v>DRAW</v>
      </c>
      <c r="AG40" s="44">
        <f t="shared" si="9"/>
        <v>1</v>
      </c>
      <c r="AH40" s="45"/>
    </row>
    <row r="41" spans="1:34" x14ac:dyDescent="0.3">
      <c r="A41" s="35">
        <v>46194</v>
      </c>
      <c r="B41" s="36">
        <v>0.79166666666666663</v>
      </c>
      <c r="C41" s="37">
        <v>2</v>
      </c>
      <c r="D41" s="44" t="s">
        <v>90</v>
      </c>
      <c r="E41" s="38" t="s">
        <v>63</v>
      </c>
      <c r="F41" s="39" t="s">
        <v>30</v>
      </c>
      <c r="G41" s="40" t="s">
        <v>51</v>
      </c>
      <c r="H41" s="2"/>
      <c r="I41" s="41"/>
      <c r="J41" s="39" t="s">
        <v>30</v>
      </c>
      <c r="K41" s="42"/>
      <c r="L41" s="44" t="str">
        <f t="shared" si="0"/>
        <v>DRAW</v>
      </c>
      <c r="M41" s="43"/>
      <c r="N41" s="41"/>
      <c r="O41" s="39" t="s">
        <v>30</v>
      </c>
      <c r="P41" s="42"/>
      <c r="Q41" s="44" t="b">
        <f t="shared" si="1"/>
        <v>1</v>
      </c>
      <c r="R41" s="44" t="str">
        <f t="shared" si="2"/>
        <v>DRAW</v>
      </c>
      <c r="S41" s="44">
        <f t="shared" si="3"/>
        <v>1</v>
      </c>
      <c r="T41" s="2"/>
      <c r="U41" s="41"/>
      <c r="V41" s="39" t="s">
        <v>30</v>
      </c>
      <c r="W41" s="42"/>
      <c r="X41" s="44" t="b">
        <f t="shared" si="4"/>
        <v>1</v>
      </c>
      <c r="Y41" s="44" t="str">
        <f t="shared" si="5"/>
        <v>DRAW</v>
      </c>
      <c r="Z41" s="44">
        <f t="shared" si="6"/>
        <v>1</v>
      </c>
      <c r="AA41" s="2"/>
      <c r="AB41" s="41"/>
      <c r="AC41" s="39" t="s">
        <v>30</v>
      </c>
      <c r="AD41" s="42"/>
      <c r="AE41" s="44" t="b">
        <f t="shared" si="7"/>
        <v>1</v>
      </c>
      <c r="AF41" s="44" t="str">
        <f t="shared" si="8"/>
        <v>DRAW</v>
      </c>
      <c r="AG41" s="44">
        <f t="shared" si="9"/>
        <v>1</v>
      </c>
      <c r="AH41" s="45"/>
    </row>
    <row r="42" spans="1:34" x14ac:dyDescent="0.3">
      <c r="A42" s="35">
        <v>46194</v>
      </c>
      <c r="B42" s="36">
        <v>0.91666666666666663</v>
      </c>
      <c r="C42" s="37">
        <v>2</v>
      </c>
      <c r="D42" s="44" t="s">
        <v>91</v>
      </c>
      <c r="E42" s="38" t="s">
        <v>38</v>
      </c>
      <c r="F42" s="39" t="s">
        <v>30</v>
      </c>
      <c r="G42" s="40" t="s">
        <v>62</v>
      </c>
      <c r="H42" s="2"/>
      <c r="I42" s="41"/>
      <c r="J42" s="39" t="s">
        <v>30</v>
      </c>
      <c r="K42" s="42"/>
      <c r="L42" s="44" t="str">
        <f t="shared" si="0"/>
        <v>DRAW</v>
      </c>
      <c r="M42" s="43"/>
      <c r="N42" s="41"/>
      <c r="O42" s="39" t="s">
        <v>30</v>
      </c>
      <c r="P42" s="42"/>
      <c r="Q42" s="44" t="b">
        <f t="shared" si="1"/>
        <v>1</v>
      </c>
      <c r="R42" s="44" t="str">
        <f t="shared" si="2"/>
        <v>DRAW</v>
      </c>
      <c r="S42" s="44">
        <f t="shared" si="3"/>
        <v>1</v>
      </c>
      <c r="T42" s="2"/>
      <c r="U42" s="41"/>
      <c r="V42" s="39" t="s">
        <v>30</v>
      </c>
      <c r="W42" s="42"/>
      <c r="X42" s="44" t="b">
        <f t="shared" si="4"/>
        <v>1</v>
      </c>
      <c r="Y42" s="44" t="str">
        <f t="shared" si="5"/>
        <v>DRAW</v>
      </c>
      <c r="Z42" s="44">
        <f t="shared" si="6"/>
        <v>1</v>
      </c>
      <c r="AA42" s="2"/>
      <c r="AB42" s="41"/>
      <c r="AC42" s="39" t="s">
        <v>30</v>
      </c>
      <c r="AD42" s="42"/>
      <c r="AE42" s="44" t="b">
        <f t="shared" si="7"/>
        <v>1</v>
      </c>
      <c r="AF42" s="44" t="str">
        <f t="shared" si="8"/>
        <v>DRAW</v>
      </c>
      <c r="AG42" s="44">
        <f t="shared" si="9"/>
        <v>1</v>
      </c>
      <c r="AH42" s="45"/>
    </row>
    <row r="43" spans="1:34" x14ac:dyDescent="0.3">
      <c r="A43" s="35">
        <v>46195</v>
      </c>
      <c r="B43" s="36">
        <v>4.1666666666666664E-2</v>
      </c>
      <c r="C43" s="37">
        <v>2</v>
      </c>
      <c r="D43" s="44" t="s">
        <v>90</v>
      </c>
      <c r="E43" s="38" t="s">
        <v>76</v>
      </c>
      <c r="F43" s="39" t="s">
        <v>30</v>
      </c>
      <c r="G43" s="40" t="s">
        <v>39</v>
      </c>
      <c r="H43" s="2"/>
      <c r="I43" s="41"/>
      <c r="J43" s="39" t="s">
        <v>30</v>
      </c>
      <c r="K43" s="42"/>
      <c r="L43" s="44" t="str">
        <f t="shared" si="0"/>
        <v>DRAW</v>
      </c>
      <c r="M43" s="43"/>
      <c r="N43" s="41"/>
      <c r="O43" s="39" t="s">
        <v>30</v>
      </c>
      <c r="P43" s="42"/>
      <c r="Q43" s="44" t="b">
        <f t="shared" si="1"/>
        <v>1</v>
      </c>
      <c r="R43" s="44" t="str">
        <f t="shared" si="2"/>
        <v>DRAW</v>
      </c>
      <c r="S43" s="44">
        <f t="shared" si="3"/>
        <v>1</v>
      </c>
      <c r="T43" s="2"/>
      <c r="U43" s="41"/>
      <c r="V43" s="39" t="s">
        <v>30</v>
      </c>
      <c r="W43" s="42"/>
      <c r="X43" s="44" t="b">
        <f t="shared" si="4"/>
        <v>1</v>
      </c>
      <c r="Y43" s="44" t="str">
        <f t="shared" si="5"/>
        <v>DRAW</v>
      </c>
      <c r="Z43" s="44">
        <f t="shared" si="6"/>
        <v>1</v>
      </c>
      <c r="AA43" s="2"/>
      <c r="AB43" s="41"/>
      <c r="AC43" s="39" t="s">
        <v>30</v>
      </c>
      <c r="AD43" s="42"/>
      <c r="AE43" s="44" t="b">
        <f t="shared" si="7"/>
        <v>1</v>
      </c>
      <c r="AF43" s="44" t="str">
        <f t="shared" si="8"/>
        <v>DRAW</v>
      </c>
      <c r="AG43" s="44">
        <f t="shared" si="9"/>
        <v>1</v>
      </c>
      <c r="AH43" s="45"/>
    </row>
    <row r="44" spans="1:34" x14ac:dyDescent="0.3">
      <c r="A44" s="35">
        <v>46195</v>
      </c>
      <c r="B44" s="36">
        <v>0.16666666666666666</v>
      </c>
      <c r="C44" s="37">
        <v>2</v>
      </c>
      <c r="D44" s="44" t="s">
        <v>91</v>
      </c>
      <c r="E44" s="38" t="s">
        <v>75</v>
      </c>
      <c r="F44" s="39" t="s">
        <v>30</v>
      </c>
      <c r="G44" s="40" t="s">
        <v>50</v>
      </c>
      <c r="H44" s="2"/>
      <c r="I44" s="41"/>
      <c r="J44" s="39" t="s">
        <v>30</v>
      </c>
      <c r="K44" s="42"/>
      <c r="L44" s="44" t="str">
        <f t="shared" si="0"/>
        <v>DRAW</v>
      </c>
      <c r="M44" s="43"/>
      <c r="N44" s="41"/>
      <c r="O44" s="39" t="s">
        <v>30</v>
      </c>
      <c r="P44" s="42"/>
      <c r="Q44" s="44" t="b">
        <f t="shared" si="1"/>
        <v>1</v>
      </c>
      <c r="R44" s="44" t="str">
        <f t="shared" si="2"/>
        <v>DRAW</v>
      </c>
      <c r="S44" s="44">
        <f t="shared" si="3"/>
        <v>1</v>
      </c>
      <c r="T44" s="2"/>
      <c r="U44" s="41"/>
      <c r="V44" s="39" t="s">
        <v>30</v>
      </c>
      <c r="W44" s="42"/>
      <c r="X44" s="44" t="b">
        <f t="shared" si="4"/>
        <v>1</v>
      </c>
      <c r="Y44" s="44" t="str">
        <f t="shared" si="5"/>
        <v>DRAW</v>
      </c>
      <c r="Z44" s="44">
        <f t="shared" si="6"/>
        <v>1</v>
      </c>
      <c r="AA44" s="2"/>
      <c r="AB44" s="41"/>
      <c r="AC44" s="39" t="s">
        <v>30</v>
      </c>
      <c r="AD44" s="42"/>
      <c r="AE44" s="44" t="b">
        <f t="shared" si="7"/>
        <v>1</v>
      </c>
      <c r="AF44" s="44" t="str">
        <f t="shared" si="8"/>
        <v>DRAW</v>
      </c>
      <c r="AG44" s="44">
        <f t="shared" si="9"/>
        <v>1</v>
      </c>
      <c r="AH44" s="45"/>
    </row>
    <row r="45" spans="1:34" x14ac:dyDescent="0.3">
      <c r="A45" s="35">
        <v>46195</v>
      </c>
      <c r="B45" s="36">
        <v>0.83333333333333337</v>
      </c>
      <c r="C45" s="37">
        <v>2</v>
      </c>
      <c r="D45" s="44" t="s">
        <v>97</v>
      </c>
      <c r="E45" s="38" t="s">
        <v>53</v>
      </c>
      <c r="F45" s="39" t="s">
        <v>30</v>
      </c>
      <c r="G45" s="40" t="s">
        <v>65</v>
      </c>
      <c r="H45" s="2"/>
      <c r="I45" s="41"/>
      <c r="J45" s="39" t="s">
        <v>30</v>
      </c>
      <c r="K45" s="42"/>
      <c r="L45" s="44" t="str">
        <f t="shared" si="0"/>
        <v>DRAW</v>
      </c>
      <c r="M45" s="43"/>
      <c r="N45" s="41"/>
      <c r="O45" s="39" t="s">
        <v>30</v>
      </c>
      <c r="P45" s="42"/>
      <c r="Q45" s="44" t="b">
        <f t="shared" si="1"/>
        <v>1</v>
      </c>
      <c r="R45" s="44" t="str">
        <f t="shared" si="2"/>
        <v>DRAW</v>
      </c>
      <c r="S45" s="44">
        <f t="shared" si="3"/>
        <v>1</v>
      </c>
      <c r="T45" s="2"/>
      <c r="U45" s="41"/>
      <c r="V45" s="39" t="s">
        <v>30</v>
      </c>
      <c r="W45" s="42"/>
      <c r="X45" s="44" t="b">
        <f t="shared" si="4"/>
        <v>1</v>
      </c>
      <c r="Y45" s="44" t="str">
        <f t="shared" si="5"/>
        <v>DRAW</v>
      </c>
      <c r="Z45" s="44">
        <f t="shared" si="6"/>
        <v>1</v>
      </c>
      <c r="AA45" s="2"/>
      <c r="AB45" s="41"/>
      <c r="AC45" s="39" t="s">
        <v>30</v>
      </c>
      <c r="AD45" s="42"/>
      <c r="AE45" s="44" t="b">
        <f t="shared" si="7"/>
        <v>1</v>
      </c>
      <c r="AF45" s="44" t="str">
        <f t="shared" si="8"/>
        <v>DRAW</v>
      </c>
      <c r="AG45" s="44">
        <f t="shared" si="9"/>
        <v>1</v>
      </c>
      <c r="AH45" s="45"/>
    </row>
    <row r="46" spans="1:34" x14ac:dyDescent="0.3">
      <c r="A46" s="35">
        <v>46196</v>
      </c>
      <c r="B46" s="36">
        <v>0</v>
      </c>
      <c r="C46" s="37">
        <v>2</v>
      </c>
      <c r="D46" s="44" t="s">
        <v>94</v>
      </c>
      <c r="E46" s="38" t="s">
        <v>40</v>
      </c>
      <c r="F46" s="39" t="s">
        <v>30</v>
      </c>
      <c r="G46" s="40" t="s">
        <v>52</v>
      </c>
      <c r="H46" s="2"/>
      <c r="I46" s="41"/>
      <c r="J46" s="39" t="s">
        <v>30</v>
      </c>
      <c r="K46" s="42"/>
      <c r="L46" s="44" t="str">
        <f t="shared" si="0"/>
        <v>DRAW</v>
      </c>
      <c r="M46" s="43"/>
      <c r="N46" s="41"/>
      <c r="O46" s="39" t="s">
        <v>30</v>
      </c>
      <c r="P46" s="42"/>
      <c r="Q46" s="44" t="b">
        <f t="shared" si="1"/>
        <v>1</v>
      </c>
      <c r="R46" s="44" t="str">
        <f t="shared" si="2"/>
        <v>DRAW</v>
      </c>
      <c r="S46" s="44">
        <f t="shared" si="3"/>
        <v>1</v>
      </c>
      <c r="T46" s="2"/>
      <c r="U46" s="41"/>
      <c r="V46" s="39" t="s">
        <v>30</v>
      </c>
      <c r="W46" s="42"/>
      <c r="X46" s="44" t="b">
        <f t="shared" si="4"/>
        <v>1</v>
      </c>
      <c r="Y46" s="44" t="str">
        <f t="shared" si="5"/>
        <v>DRAW</v>
      </c>
      <c r="Z46" s="44">
        <f t="shared" si="6"/>
        <v>1</v>
      </c>
      <c r="AA46" s="2"/>
      <c r="AB46" s="41"/>
      <c r="AC46" s="39" t="s">
        <v>30</v>
      </c>
      <c r="AD46" s="42"/>
      <c r="AE46" s="44" t="b">
        <f t="shared" si="7"/>
        <v>1</v>
      </c>
      <c r="AF46" s="44" t="str">
        <f t="shared" si="8"/>
        <v>DRAW</v>
      </c>
      <c r="AG46" s="44">
        <f t="shared" si="9"/>
        <v>1</v>
      </c>
      <c r="AH46" s="45"/>
    </row>
    <row r="47" spans="1:34" x14ac:dyDescent="0.3">
      <c r="A47" s="35">
        <v>46196</v>
      </c>
      <c r="B47" s="36">
        <v>0.125</v>
      </c>
      <c r="C47" s="37">
        <v>2</v>
      </c>
      <c r="D47" s="44" t="s">
        <v>94</v>
      </c>
      <c r="E47" s="38" t="s">
        <v>64</v>
      </c>
      <c r="F47" s="39" t="s">
        <v>30</v>
      </c>
      <c r="G47" s="40" t="s">
        <v>77</v>
      </c>
      <c r="H47" s="2"/>
      <c r="I47" s="41"/>
      <c r="J47" s="39" t="s">
        <v>30</v>
      </c>
      <c r="K47" s="42"/>
      <c r="L47" s="44" t="str">
        <f t="shared" si="0"/>
        <v>DRAW</v>
      </c>
      <c r="M47" s="43"/>
      <c r="N47" s="41"/>
      <c r="O47" s="39" t="s">
        <v>30</v>
      </c>
      <c r="P47" s="42"/>
      <c r="Q47" s="44" t="b">
        <f t="shared" si="1"/>
        <v>1</v>
      </c>
      <c r="R47" s="44" t="str">
        <f t="shared" si="2"/>
        <v>DRAW</v>
      </c>
      <c r="S47" s="44">
        <f t="shared" si="3"/>
        <v>1</v>
      </c>
      <c r="T47" s="2"/>
      <c r="U47" s="41"/>
      <c r="V47" s="39" t="s">
        <v>30</v>
      </c>
      <c r="W47" s="42"/>
      <c r="X47" s="44" t="b">
        <f t="shared" si="4"/>
        <v>1</v>
      </c>
      <c r="Y47" s="44" t="str">
        <f t="shared" si="5"/>
        <v>DRAW</v>
      </c>
      <c r="Z47" s="44">
        <f t="shared" si="6"/>
        <v>1</v>
      </c>
      <c r="AA47" s="2"/>
      <c r="AB47" s="41"/>
      <c r="AC47" s="39" t="s">
        <v>30</v>
      </c>
      <c r="AD47" s="42"/>
      <c r="AE47" s="44" t="b">
        <f t="shared" si="7"/>
        <v>1</v>
      </c>
      <c r="AF47" s="44" t="str">
        <f t="shared" si="8"/>
        <v>DRAW</v>
      </c>
      <c r="AG47" s="44">
        <f t="shared" si="9"/>
        <v>1</v>
      </c>
      <c r="AH47" s="45"/>
    </row>
    <row r="48" spans="1:34" x14ac:dyDescent="0.3">
      <c r="A48" s="35">
        <v>46196</v>
      </c>
      <c r="B48" s="36">
        <v>0.25</v>
      </c>
      <c r="C48" s="37">
        <v>2</v>
      </c>
      <c r="D48" s="44" t="s">
        <v>97</v>
      </c>
      <c r="E48" s="38" t="s">
        <v>78</v>
      </c>
      <c r="F48" s="39" t="s">
        <v>30</v>
      </c>
      <c r="G48" s="40" t="s">
        <v>41</v>
      </c>
      <c r="H48" s="2"/>
      <c r="I48" s="41"/>
      <c r="J48" s="39" t="s">
        <v>30</v>
      </c>
      <c r="K48" s="42"/>
      <c r="L48" s="44" t="str">
        <f t="shared" si="0"/>
        <v>DRAW</v>
      </c>
      <c r="M48" s="43"/>
      <c r="N48" s="41"/>
      <c r="O48" s="39" t="s">
        <v>30</v>
      </c>
      <c r="P48" s="42"/>
      <c r="Q48" s="44" t="b">
        <f t="shared" si="1"/>
        <v>1</v>
      </c>
      <c r="R48" s="44" t="str">
        <f t="shared" si="2"/>
        <v>DRAW</v>
      </c>
      <c r="S48" s="44">
        <f t="shared" si="3"/>
        <v>1</v>
      </c>
      <c r="T48" s="2"/>
      <c r="U48" s="41"/>
      <c r="V48" s="39" t="s">
        <v>30</v>
      </c>
      <c r="W48" s="42"/>
      <c r="X48" s="44" t="b">
        <f t="shared" si="4"/>
        <v>1</v>
      </c>
      <c r="Y48" s="44" t="str">
        <f t="shared" si="5"/>
        <v>DRAW</v>
      </c>
      <c r="Z48" s="44">
        <f t="shared" si="6"/>
        <v>1</v>
      </c>
      <c r="AA48" s="2"/>
      <c r="AB48" s="41"/>
      <c r="AC48" s="39" t="s">
        <v>30</v>
      </c>
      <c r="AD48" s="42"/>
      <c r="AE48" s="44" t="b">
        <f t="shared" si="7"/>
        <v>1</v>
      </c>
      <c r="AF48" s="44" t="str">
        <f t="shared" si="8"/>
        <v>DRAW</v>
      </c>
      <c r="AG48" s="44">
        <f t="shared" si="9"/>
        <v>1</v>
      </c>
      <c r="AH48" s="45"/>
    </row>
    <row r="49" spans="1:34" x14ac:dyDescent="0.3">
      <c r="A49" s="35">
        <v>46196</v>
      </c>
      <c r="B49" s="36">
        <v>0.83333333333333337</v>
      </c>
      <c r="C49" s="37">
        <v>2</v>
      </c>
      <c r="D49" s="44" t="s">
        <v>98</v>
      </c>
      <c r="E49" s="38" t="s">
        <v>66</v>
      </c>
      <c r="F49" s="39" t="s">
        <v>30</v>
      </c>
      <c r="G49" s="40" t="s">
        <v>79</v>
      </c>
      <c r="H49" s="2"/>
      <c r="I49" s="41"/>
      <c r="J49" s="39" t="s">
        <v>30</v>
      </c>
      <c r="K49" s="42"/>
      <c r="L49" s="44" t="str">
        <f t="shared" si="0"/>
        <v>DRAW</v>
      </c>
      <c r="M49" s="43"/>
      <c r="N49" s="41"/>
      <c r="O49" s="39" t="s">
        <v>30</v>
      </c>
      <c r="P49" s="42"/>
      <c r="Q49" s="44" t="b">
        <f t="shared" si="1"/>
        <v>1</v>
      </c>
      <c r="R49" s="44" t="str">
        <f t="shared" si="2"/>
        <v>DRAW</v>
      </c>
      <c r="S49" s="44">
        <f t="shared" si="3"/>
        <v>1</v>
      </c>
      <c r="T49" s="2"/>
      <c r="U49" s="41"/>
      <c r="V49" s="39" t="s">
        <v>30</v>
      </c>
      <c r="W49" s="42"/>
      <c r="X49" s="44" t="b">
        <f t="shared" si="4"/>
        <v>1</v>
      </c>
      <c r="Y49" s="44" t="str">
        <f t="shared" si="5"/>
        <v>DRAW</v>
      </c>
      <c r="Z49" s="44">
        <f t="shared" si="6"/>
        <v>1</v>
      </c>
      <c r="AA49" s="2"/>
      <c r="AB49" s="41"/>
      <c r="AC49" s="39" t="s">
        <v>30</v>
      </c>
      <c r="AD49" s="42"/>
      <c r="AE49" s="44" t="b">
        <f t="shared" si="7"/>
        <v>1</v>
      </c>
      <c r="AF49" s="44" t="str">
        <f t="shared" si="8"/>
        <v>DRAW</v>
      </c>
      <c r="AG49" s="44">
        <f t="shared" si="9"/>
        <v>1</v>
      </c>
      <c r="AH49" s="45"/>
    </row>
    <row r="50" spans="1:34" x14ac:dyDescent="0.3">
      <c r="A50" s="35">
        <v>46196</v>
      </c>
      <c r="B50" s="36">
        <v>0.95833333333333337</v>
      </c>
      <c r="C50" s="37">
        <v>2</v>
      </c>
      <c r="D50" s="44" t="s">
        <v>99</v>
      </c>
      <c r="E50" s="38" t="s">
        <v>55</v>
      </c>
      <c r="F50" s="39" t="s">
        <v>30</v>
      </c>
      <c r="G50" s="40" t="s">
        <v>67</v>
      </c>
      <c r="H50" s="2"/>
      <c r="I50" s="41"/>
      <c r="J50" s="39" t="s">
        <v>30</v>
      </c>
      <c r="K50" s="42"/>
      <c r="L50" s="44" t="str">
        <f t="shared" si="0"/>
        <v>DRAW</v>
      </c>
      <c r="M50" s="43"/>
      <c r="N50" s="41"/>
      <c r="O50" s="39" t="s">
        <v>30</v>
      </c>
      <c r="P50" s="42"/>
      <c r="Q50" s="44" t="b">
        <f t="shared" si="1"/>
        <v>1</v>
      </c>
      <c r="R50" s="44" t="str">
        <f t="shared" si="2"/>
        <v>DRAW</v>
      </c>
      <c r="S50" s="44">
        <f t="shared" si="3"/>
        <v>1</v>
      </c>
      <c r="T50" s="2"/>
      <c r="U50" s="41"/>
      <c r="V50" s="39" t="s">
        <v>30</v>
      </c>
      <c r="W50" s="42"/>
      <c r="X50" s="44" t="b">
        <f t="shared" si="4"/>
        <v>1</v>
      </c>
      <c r="Y50" s="44" t="str">
        <f t="shared" si="5"/>
        <v>DRAW</v>
      </c>
      <c r="Z50" s="44">
        <f t="shared" si="6"/>
        <v>1</v>
      </c>
      <c r="AA50" s="2"/>
      <c r="AB50" s="41"/>
      <c r="AC50" s="39" t="s">
        <v>30</v>
      </c>
      <c r="AD50" s="42"/>
      <c r="AE50" s="44" t="b">
        <f t="shared" si="7"/>
        <v>1</v>
      </c>
      <c r="AF50" s="44" t="str">
        <f t="shared" si="8"/>
        <v>DRAW</v>
      </c>
      <c r="AG50" s="44">
        <f t="shared" si="9"/>
        <v>1</v>
      </c>
      <c r="AH50" s="45"/>
    </row>
    <row r="51" spans="1:34" x14ac:dyDescent="0.3">
      <c r="A51" s="35">
        <v>46197</v>
      </c>
      <c r="B51" s="36">
        <v>8.3333333333333329E-2</v>
      </c>
      <c r="C51" s="37">
        <v>2</v>
      </c>
      <c r="D51" s="44" t="s">
        <v>99</v>
      </c>
      <c r="E51" s="38" t="s">
        <v>80</v>
      </c>
      <c r="F51" s="39" t="s">
        <v>30</v>
      </c>
      <c r="G51" s="40" t="s">
        <v>43</v>
      </c>
      <c r="H51" s="2"/>
      <c r="I51" s="41"/>
      <c r="J51" s="39" t="s">
        <v>30</v>
      </c>
      <c r="K51" s="42"/>
      <c r="L51" s="44" t="str">
        <f t="shared" si="0"/>
        <v>DRAW</v>
      </c>
      <c r="M51" s="43"/>
      <c r="N51" s="41"/>
      <c r="O51" s="39" t="s">
        <v>30</v>
      </c>
      <c r="P51" s="42"/>
      <c r="Q51" s="44" t="b">
        <f t="shared" si="1"/>
        <v>1</v>
      </c>
      <c r="R51" s="44" t="str">
        <f t="shared" si="2"/>
        <v>DRAW</v>
      </c>
      <c r="S51" s="44">
        <f t="shared" si="3"/>
        <v>1</v>
      </c>
      <c r="T51" s="2"/>
      <c r="U51" s="41"/>
      <c r="V51" s="39" t="s">
        <v>30</v>
      </c>
      <c r="W51" s="42"/>
      <c r="X51" s="44" t="b">
        <f t="shared" si="4"/>
        <v>1</v>
      </c>
      <c r="Y51" s="44" t="str">
        <f t="shared" si="5"/>
        <v>DRAW</v>
      </c>
      <c r="Z51" s="44">
        <f t="shared" si="6"/>
        <v>1</v>
      </c>
      <c r="AA51" s="2"/>
      <c r="AB51" s="41"/>
      <c r="AC51" s="39" t="s">
        <v>30</v>
      </c>
      <c r="AD51" s="42"/>
      <c r="AE51" s="44" t="b">
        <f t="shared" si="7"/>
        <v>1</v>
      </c>
      <c r="AF51" s="44" t="str">
        <f t="shared" si="8"/>
        <v>DRAW</v>
      </c>
      <c r="AG51" s="44">
        <f t="shared" si="9"/>
        <v>1</v>
      </c>
      <c r="AH51" s="45"/>
    </row>
    <row r="52" spans="1:34" ht="14.95" thickBot="1" x14ac:dyDescent="0.35">
      <c r="A52" s="79">
        <v>46197</v>
      </c>
      <c r="B52" s="80">
        <v>0.20833333333333334</v>
      </c>
      <c r="C52" s="81">
        <v>2</v>
      </c>
      <c r="D52" s="81" t="s">
        <v>98</v>
      </c>
      <c r="E52" s="82" t="s">
        <v>42</v>
      </c>
      <c r="F52" s="83" t="s">
        <v>30</v>
      </c>
      <c r="G52" s="84" t="s">
        <v>54</v>
      </c>
      <c r="H52" s="2"/>
      <c r="I52" s="85"/>
      <c r="J52" s="83" t="s">
        <v>30</v>
      </c>
      <c r="K52" s="86"/>
      <c r="L52" s="81" t="str">
        <f t="shared" si="0"/>
        <v>DRAW</v>
      </c>
      <c r="M52" s="43"/>
      <c r="N52" s="85"/>
      <c r="O52" s="83" t="s">
        <v>30</v>
      </c>
      <c r="P52" s="86"/>
      <c r="Q52" s="81" t="b">
        <f t="shared" si="1"/>
        <v>1</v>
      </c>
      <c r="R52" s="81" t="str">
        <f t="shared" si="2"/>
        <v>DRAW</v>
      </c>
      <c r="S52" s="81">
        <f t="shared" si="3"/>
        <v>1</v>
      </c>
      <c r="T52" s="2"/>
      <c r="U52" s="85"/>
      <c r="V52" s="83" t="s">
        <v>30</v>
      </c>
      <c r="W52" s="86"/>
      <c r="X52" s="81" t="b">
        <f t="shared" si="4"/>
        <v>1</v>
      </c>
      <c r="Y52" s="81" t="str">
        <f t="shared" si="5"/>
        <v>DRAW</v>
      </c>
      <c r="Z52" s="81">
        <f t="shared" si="6"/>
        <v>1</v>
      </c>
      <c r="AA52" s="2"/>
      <c r="AB52" s="85"/>
      <c r="AC52" s="83" t="s">
        <v>30</v>
      </c>
      <c r="AD52" s="86"/>
      <c r="AE52" s="81" t="b">
        <f t="shared" si="7"/>
        <v>1</v>
      </c>
      <c r="AF52" s="81" t="str">
        <f t="shared" si="8"/>
        <v>DRAW</v>
      </c>
      <c r="AG52" s="81">
        <f t="shared" si="9"/>
        <v>1</v>
      </c>
      <c r="AH52" s="45"/>
    </row>
    <row r="53" spans="1:34" x14ac:dyDescent="0.3">
      <c r="A53" s="35">
        <v>46197</v>
      </c>
      <c r="B53" s="36">
        <v>0.91666666666666663</v>
      </c>
      <c r="C53" s="37">
        <v>3</v>
      </c>
      <c r="D53" s="90" t="s">
        <v>56</v>
      </c>
      <c r="E53" s="91" t="s">
        <v>71</v>
      </c>
      <c r="F53" s="92" t="s">
        <v>30</v>
      </c>
      <c r="G53" s="93" t="s">
        <v>45</v>
      </c>
      <c r="H53" s="2"/>
      <c r="I53" s="94"/>
      <c r="J53" s="92" t="s">
        <v>30</v>
      </c>
      <c r="K53" s="95"/>
      <c r="L53" s="90" t="str">
        <f t="shared" si="0"/>
        <v>DRAW</v>
      </c>
      <c r="M53" s="43"/>
      <c r="N53" s="94"/>
      <c r="O53" s="92" t="s">
        <v>30</v>
      </c>
      <c r="P53" s="95"/>
      <c r="Q53" s="90" t="b">
        <f t="shared" si="1"/>
        <v>1</v>
      </c>
      <c r="R53" s="90" t="str">
        <f t="shared" si="2"/>
        <v>DRAW</v>
      </c>
      <c r="S53" s="90">
        <f t="shared" si="3"/>
        <v>1</v>
      </c>
      <c r="T53" s="2"/>
      <c r="U53" s="94"/>
      <c r="V53" s="92" t="s">
        <v>30</v>
      </c>
      <c r="W53" s="95"/>
      <c r="X53" s="90" t="b">
        <f t="shared" si="4"/>
        <v>1</v>
      </c>
      <c r="Y53" s="90" t="str">
        <f t="shared" si="5"/>
        <v>DRAW</v>
      </c>
      <c r="Z53" s="90">
        <f t="shared" si="6"/>
        <v>1</v>
      </c>
      <c r="AA53" s="2"/>
      <c r="AB53" s="94"/>
      <c r="AC53" s="92" t="s">
        <v>30</v>
      </c>
      <c r="AD53" s="95"/>
      <c r="AE53" s="90" t="b">
        <f t="shared" si="7"/>
        <v>1</v>
      </c>
      <c r="AF53" s="90" t="str">
        <f t="shared" si="8"/>
        <v>DRAW</v>
      </c>
      <c r="AG53" s="90">
        <f t="shared" si="9"/>
        <v>1</v>
      </c>
      <c r="AH53" s="45"/>
    </row>
    <row r="54" spans="1:34" x14ac:dyDescent="0.3">
      <c r="A54" s="35">
        <v>46197</v>
      </c>
      <c r="B54" s="36">
        <v>0.91666666666666663</v>
      </c>
      <c r="C54" s="37">
        <v>3</v>
      </c>
      <c r="D54" s="96" t="s">
        <v>56</v>
      </c>
      <c r="E54" s="97" t="s">
        <v>33</v>
      </c>
      <c r="F54" s="98" t="s">
        <v>30</v>
      </c>
      <c r="G54" s="52" t="s">
        <v>57</v>
      </c>
      <c r="H54" s="2"/>
      <c r="I54" s="51"/>
      <c r="J54" s="98" t="s">
        <v>30</v>
      </c>
      <c r="K54" s="99"/>
      <c r="L54" s="96" t="str">
        <f t="shared" si="0"/>
        <v>DRAW</v>
      </c>
      <c r="M54" s="43"/>
      <c r="N54" s="51"/>
      <c r="O54" s="98" t="s">
        <v>30</v>
      </c>
      <c r="P54" s="99"/>
      <c r="Q54" s="96" t="b">
        <f t="shared" si="1"/>
        <v>1</v>
      </c>
      <c r="R54" s="96" t="str">
        <f t="shared" si="2"/>
        <v>DRAW</v>
      </c>
      <c r="S54" s="96">
        <f t="shared" si="3"/>
        <v>1</v>
      </c>
      <c r="T54" s="2"/>
      <c r="U54" s="51"/>
      <c r="V54" s="98" t="s">
        <v>30</v>
      </c>
      <c r="W54" s="99"/>
      <c r="X54" s="96" t="b">
        <f t="shared" si="4"/>
        <v>1</v>
      </c>
      <c r="Y54" s="96" t="str">
        <f t="shared" si="5"/>
        <v>DRAW</v>
      </c>
      <c r="Z54" s="96">
        <f t="shared" si="6"/>
        <v>1</v>
      </c>
      <c r="AA54" s="2"/>
      <c r="AB54" s="51"/>
      <c r="AC54" s="98" t="s">
        <v>30</v>
      </c>
      <c r="AD54" s="99"/>
      <c r="AE54" s="96" t="b">
        <f t="shared" si="7"/>
        <v>1</v>
      </c>
      <c r="AF54" s="96" t="str">
        <f t="shared" si="8"/>
        <v>DRAW</v>
      </c>
      <c r="AG54" s="96">
        <f t="shared" si="9"/>
        <v>1</v>
      </c>
      <c r="AH54" s="45"/>
    </row>
    <row r="55" spans="1:34" x14ac:dyDescent="0.3">
      <c r="A55" s="35">
        <v>46198</v>
      </c>
      <c r="B55" s="36">
        <v>4.1666666666666664E-2</v>
      </c>
      <c r="C55" s="37">
        <v>3</v>
      </c>
      <c r="D55" s="96" t="s">
        <v>82</v>
      </c>
      <c r="E55" s="97" t="s">
        <v>72</v>
      </c>
      <c r="F55" s="98" t="s">
        <v>30</v>
      </c>
      <c r="G55" s="52" t="s">
        <v>34</v>
      </c>
      <c r="H55" s="2"/>
      <c r="I55" s="51"/>
      <c r="J55" s="98" t="s">
        <v>30</v>
      </c>
      <c r="K55" s="99"/>
      <c r="L55" s="96" t="str">
        <f t="shared" si="0"/>
        <v>DRAW</v>
      </c>
      <c r="M55" s="43"/>
      <c r="N55" s="51"/>
      <c r="O55" s="98" t="s">
        <v>30</v>
      </c>
      <c r="P55" s="99"/>
      <c r="Q55" s="96" t="b">
        <f t="shared" si="1"/>
        <v>1</v>
      </c>
      <c r="R55" s="96" t="str">
        <f t="shared" si="2"/>
        <v>DRAW</v>
      </c>
      <c r="S55" s="96">
        <f t="shared" si="3"/>
        <v>1</v>
      </c>
      <c r="T55" s="2"/>
      <c r="U55" s="51"/>
      <c r="V55" s="98" t="s">
        <v>30</v>
      </c>
      <c r="W55" s="99"/>
      <c r="X55" s="96" t="b">
        <f t="shared" si="4"/>
        <v>1</v>
      </c>
      <c r="Y55" s="96" t="str">
        <f t="shared" si="5"/>
        <v>DRAW</v>
      </c>
      <c r="Z55" s="96">
        <f t="shared" si="6"/>
        <v>1</v>
      </c>
      <c r="AA55" s="2"/>
      <c r="AB55" s="51"/>
      <c r="AC55" s="98" t="s">
        <v>30</v>
      </c>
      <c r="AD55" s="99"/>
      <c r="AE55" s="96" t="b">
        <f t="shared" si="7"/>
        <v>1</v>
      </c>
      <c r="AF55" s="96" t="str">
        <f t="shared" si="8"/>
        <v>DRAW</v>
      </c>
      <c r="AG55" s="96">
        <f t="shared" si="9"/>
        <v>1</v>
      </c>
      <c r="AH55" s="45"/>
    </row>
    <row r="56" spans="1:34" x14ac:dyDescent="0.3">
      <c r="A56" s="35">
        <v>46198</v>
      </c>
      <c r="B56" s="36">
        <v>4.1666666666666664E-2</v>
      </c>
      <c r="C56" s="37">
        <v>3</v>
      </c>
      <c r="D56" s="96" t="s">
        <v>82</v>
      </c>
      <c r="E56" s="97" t="s">
        <v>58</v>
      </c>
      <c r="F56" s="98" t="s">
        <v>30</v>
      </c>
      <c r="G56" s="52" t="s">
        <v>46</v>
      </c>
      <c r="H56" s="2"/>
      <c r="I56" s="51"/>
      <c r="J56" s="98" t="s">
        <v>30</v>
      </c>
      <c r="K56" s="99"/>
      <c r="L56" s="96" t="str">
        <f t="shared" si="0"/>
        <v>DRAW</v>
      </c>
      <c r="M56" s="43"/>
      <c r="N56" s="51"/>
      <c r="O56" s="98" t="s">
        <v>30</v>
      </c>
      <c r="P56" s="99"/>
      <c r="Q56" s="96" t="b">
        <f t="shared" si="1"/>
        <v>1</v>
      </c>
      <c r="R56" s="96" t="str">
        <f t="shared" si="2"/>
        <v>DRAW</v>
      </c>
      <c r="S56" s="96">
        <f t="shared" si="3"/>
        <v>1</v>
      </c>
      <c r="T56" s="2"/>
      <c r="U56" s="51"/>
      <c r="V56" s="98" t="s">
        <v>30</v>
      </c>
      <c r="W56" s="99"/>
      <c r="X56" s="96" t="b">
        <f t="shared" si="4"/>
        <v>1</v>
      </c>
      <c r="Y56" s="96" t="str">
        <f t="shared" si="5"/>
        <v>DRAW</v>
      </c>
      <c r="Z56" s="96">
        <f t="shared" si="6"/>
        <v>1</v>
      </c>
      <c r="AA56" s="2"/>
      <c r="AB56" s="51"/>
      <c r="AC56" s="98" t="s">
        <v>30</v>
      </c>
      <c r="AD56" s="99"/>
      <c r="AE56" s="96" t="b">
        <f t="shared" si="7"/>
        <v>1</v>
      </c>
      <c r="AF56" s="96" t="str">
        <f t="shared" si="8"/>
        <v>DRAW</v>
      </c>
      <c r="AG56" s="96">
        <f t="shared" si="9"/>
        <v>1</v>
      </c>
      <c r="AH56" s="45"/>
    </row>
    <row r="57" spans="1:34" x14ac:dyDescent="0.3">
      <c r="A57" s="35">
        <v>46198</v>
      </c>
      <c r="B57" s="36">
        <v>0.16666666666666666</v>
      </c>
      <c r="C57" s="37">
        <v>3</v>
      </c>
      <c r="D57" s="96" t="s">
        <v>28</v>
      </c>
      <c r="E57" s="97" t="s">
        <v>32</v>
      </c>
      <c r="F57" s="98" t="s">
        <v>30</v>
      </c>
      <c r="G57" s="52" t="s">
        <v>29</v>
      </c>
      <c r="H57" s="2"/>
      <c r="I57" s="51"/>
      <c r="J57" s="98" t="s">
        <v>30</v>
      </c>
      <c r="K57" s="99"/>
      <c r="L57" s="96" t="str">
        <f t="shared" si="0"/>
        <v>DRAW</v>
      </c>
      <c r="M57" s="43"/>
      <c r="N57" s="51"/>
      <c r="O57" s="98" t="s">
        <v>30</v>
      </c>
      <c r="P57" s="99"/>
      <c r="Q57" s="96" t="b">
        <f t="shared" si="1"/>
        <v>1</v>
      </c>
      <c r="R57" s="96" t="str">
        <f t="shared" si="2"/>
        <v>DRAW</v>
      </c>
      <c r="S57" s="96">
        <f t="shared" si="3"/>
        <v>1</v>
      </c>
      <c r="T57" s="2"/>
      <c r="U57" s="51"/>
      <c r="V57" s="98" t="s">
        <v>30</v>
      </c>
      <c r="W57" s="99"/>
      <c r="X57" s="96" t="b">
        <f t="shared" si="4"/>
        <v>1</v>
      </c>
      <c r="Y57" s="96" t="str">
        <f t="shared" si="5"/>
        <v>DRAW</v>
      </c>
      <c r="Z57" s="96">
        <f t="shared" si="6"/>
        <v>1</v>
      </c>
      <c r="AA57" s="2"/>
      <c r="AB57" s="51"/>
      <c r="AC57" s="98" t="s">
        <v>30</v>
      </c>
      <c r="AD57" s="99"/>
      <c r="AE57" s="96" t="b">
        <f t="shared" si="7"/>
        <v>1</v>
      </c>
      <c r="AF57" s="96" t="str">
        <f t="shared" si="8"/>
        <v>DRAW</v>
      </c>
      <c r="AG57" s="96">
        <f t="shared" si="9"/>
        <v>1</v>
      </c>
      <c r="AH57" s="45"/>
    </row>
    <row r="58" spans="1:34" x14ac:dyDescent="0.3">
      <c r="A58" s="35">
        <v>46198</v>
      </c>
      <c r="B58" s="36">
        <v>0.16666666666666666</v>
      </c>
      <c r="C58" s="37">
        <v>3</v>
      </c>
      <c r="D58" s="96" t="s">
        <v>28</v>
      </c>
      <c r="E58" s="97" t="s">
        <v>31</v>
      </c>
      <c r="F58" s="98" t="s">
        <v>30</v>
      </c>
      <c r="G58" s="52" t="s">
        <v>44</v>
      </c>
      <c r="H58" s="2"/>
      <c r="I58" s="51"/>
      <c r="J58" s="98" t="s">
        <v>30</v>
      </c>
      <c r="K58" s="99"/>
      <c r="L58" s="96" t="str">
        <f t="shared" si="0"/>
        <v>DRAW</v>
      </c>
      <c r="M58" s="43"/>
      <c r="N58" s="51"/>
      <c r="O58" s="98" t="s">
        <v>30</v>
      </c>
      <c r="P58" s="99"/>
      <c r="Q58" s="96" t="b">
        <f t="shared" si="1"/>
        <v>1</v>
      </c>
      <c r="R58" s="96" t="str">
        <f t="shared" si="2"/>
        <v>DRAW</v>
      </c>
      <c r="S58" s="96">
        <f t="shared" si="3"/>
        <v>1</v>
      </c>
      <c r="T58" s="2"/>
      <c r="U58" s="51"/>
      <c r="V58" s="98" t="s">
        <v>30</v>
      </c>
      <c r="W58" s="99"/>
      <c r="X58" s="96" t="b">
        <f t="shared" si="4"/>
        <v>1</v>
      </c>
      <c r="Y58" s="96" t="str">
        <f t="shared" si="5"/>
        <v>DRAW</v>
      </c>
      <c r="Z58" s="96">
        <f t="shared" si="6"/>
        <v>1</v>
      </c>
      <c r="AA58" s="2"/>
      <c r="AB58" s="51"/>
      <c r="AC58" s="98" t="s">
        <v>30</v>
      </c>
      <c r="AD58" s="99"/>
      <c r="AE58" s="96" t="b">
        <f t="shared" si="7"/>
        <v>1</v>
      </c>
      <c r="AF58" s="96" t="str">
        <f t="shared" si="8"/>
        <v>DRAW</v>
      </c>
      <c r="AG58" s="96">
        <f t="shared" si="9"/>
        <v>1</v>
      </c>
      <c r="AH58" s="45"/>
    </row>
    <row r="59" spans="1:34" x14ac:dyDescent="0.3">
      <c r="A59" s="35">
        <v>46198</v>
      </c>
      <c r="B59" s="36">
        <v>0.95833333333333337</v>
      </c>
      <c r="C59" s="37">
        <v>3</v>
      </c>
      <c r="D59" s="96" t="s">
        <v>86</v>
      </c>
      <c r="E59" s="97" t="s">
        <v>48</v>
      </c>
      <c r="F59" s="98" t="s">
        <v>30</v>
      </c>
      <c r="G59" s="52" t="s">
        <v>36</v>
      </c>
      <c r="H59" s="2"/>
      <c r="I59" s="51"/>
      <c r="J59" s="98" t="s">
        <v>30</v>
      </c>
      <c r="K59" s="99"/>
      <c r="L59" s="96" t="str">
        <f t="shared" si="0"/>
        <v>DRAW</v>
      </c>
      <c r="M59" s="43"/>
      <c r="N59" s="51"/>
      <c r="O59" s="98" t="s">
        <v>30</v>
      </c>
      <c r="P59" s="99"/>
      <c r="Q59" s="96" t="b">
        <f t="shared" si="1"/>
        <v>1</v>
      </c>
      <c r="R59" s="96" t="str">
        <f t="shared" si="2"/>
        <v>DRAW</v>
      </c>
      <c r="S59" s="96">
        <f t="shared" si="3"/>
        <v>1</v>
      </c>
      <c r="T59" s="2"/>
      <c r="U59" s="51"/>
      <c r="V59" s="98" t="s">
        <v>30</v>
      </c>
      <c r="W59" s="99"/>
      <c r="X59" s="96" t="b">
        <f t="shared" si="4"/>
        <v>1</v>
      </c>
      <c r="Y59" s="96" t="str">
        <f t="shared" si="5"/>
        <v>DRAW</v>
      </c>
      <c r="Z59" s="96">
        <f t="shared" si="6"/>
        <v>1</v>
      </c>
      <c r="AA59" s="2"/>
      <c r="AB59" s="51"/>
      <c r="AC59" s="98" t="s">
        <v>30</v>
      </c>
      <c r="AD59" s="99"/>
      <c r="AE59" s="96" t="b">
        <f t="shared" si="7"/>
        <v>1</v>
      </c>
      <c r="AF59" s="96" t="str">
        <f t="shared" si="8"/>
        <v>DRAW</v>
      </c>
      <c r="AG59" s="96">
        <f t="shared" si="9"/>
        <v>1</v>
      </c>
      <c r="AH59" s="45"/>
    </row>
    <row r="60" spans="1:34" x14ac:dyDescent="0.3">
      <c r="A60" s="35">
        <v>46198</v>
      </c>
      <c r="B60" s="36">
        <v>0.95833333333333337</v>
      </c>
      <c r="C60" s="37">
        <v>3</v>
      </c>
      <c r="D60" s="96" t="s">
        <v>86</v>
      </c>
      <c r="E60" s="97" t="s">
        <v>60</v>
      </c>
      <c r="F60" s="98" t="s">
        <v>30</v>
      </c>
      <c r="G60" s="52" t="s">
        <v>73</v>
      </c>
      <c r="H60" s="2"/>
      <c r="I60" s="51"/>
      <c r="J60" s="98" t="s">
        <v>30</v>
      </c>
      <c r="K60" s="99"/>
      <c r="L60" s="96" t="str">
        <f t="shared" si="0"/>
        <v>DRAW</v>
      </c>
      <c r="M60" s="43"/>
      <c r="N60" s="51"/>
      <c r="O60" s="98" t="s">
        <v>30</v>
      </c>
      <c r="P60" s="99"/>
      <c r="Q60" s="96" t="b">
        <f t="shared" si="1"/>
        <v>1</v>
      </c>
      <c r="R60" s="96" t="str">
        <f t="shared" si="2"/>
        <v>DRAW</v>
      </c>
      <c r="S60" s="96">
        <f t="shared" si="3"/>
        <v>1</v>
      </c>
      <c r="T60" s="2"/>
      <c r="U60" s="51"/>
      <c r="V60" s="98" t="s">
        <v>30</v>
      </c>
      <c r="W60" s="99"/>
      <c r="X60" s="96" t="b">
        <f t="shared" si="4"/>
        <v>1</v>
      </c>
      <c r="Y60" s="96" t="str">
        <f t="shared" si="5"/>
        <v>DRAW</v>
      </c>
      <c r="Z60" s="96">
        <f t="shared" si="6"/>
        <v>1</v>
      </c>
      <c r="AA60" s="2"/>
      <c r="AB60" s="51"/>
      <c r="AC60" s="98" t="s">
        <v>30</v>
      </c>
      <c r="AD60" s="99"/>
      <c r="AE60" s="96" t="b">
        <f t="shared" si="7"/>
        <v>1</v>
      </c>
      <c r="AF60" s="96" t="str">
        <f t="shared" si="8"/>
        <v>DRAW</v>
      </c>
      <c r="AG60" s="96">
        <f t="shared" si="9"/>
        <v>1</v>
      </c>
      <c r="AH60" s="45"/>
    </row>
    <row r="61" spans="1:34" x14ac:dyDescent="0.3">
      <c r="A61" s="35">
        <v>46199</v>
      </c>
      <c r="B61" s="36">
        <v>8.3333333333333329E-2</v>
      </c>
      <c r="C61" s="37">
        <v>3</v>
      </c>
      <c r="D61" s="96" t="s">
        <v>87</v>
      </c>
      <c r="E61" s="97" t="s">
        <v>37</v>
      </c>
      <c r="F61" s="98" t="s">
        <v>30</v>
      </c>
      <c r="G61" s="52" t="s">
        <v>61</v>
      </c>
      <c r="H61" s="2"/>
      <c r="I61" s="51"/>
      <c r="J61" s="98" t="s">
        <v>30</v>
      </c>
      <c r="K61" s="99"/>
      <c r="L61" s="96" t="str">
        <f t="shared" si="0"/>
        <v>DRAW</v>
      </c>
      <c r="M61" s="43"/>
      <c r="N61" s="51"/>
      <c r="O61" s="98" t="s">
        <v>30</v>
      </c>
      <c r="P61" s="99"/>
      <c r="Q61" s="96" t="b">
        <f t="shared" si="1"/>
        <v>1</v>
      </c>
      <c r="R61" s="96" t="str">
        <f t="shared" si="2"/>
        <v>DRAW</v>
      </c>
      <c r="S61" s="96">
        <f t="shared" si="3"/>
        <v>1</v>
      </c>
      <c r="T61" s="2"/>
      <c r="U61" s="51"/>
      <c r="V61" s="98" t="s">
        <v>30</v>
      </c>
      <c r="W61" s="99"/>
      <c r="X61" s="96" t="b">
        <f t="shared" si="4"/>
        <v>1</v>
      </c>
      <c r="Y61" s="96" t="str">
        <f t="shared" si="5"/>
        <v>DRAW</v>
      </c>
      <c r="Z61" s="96">
        <f t="shared" si="6"/>
        <v>1</v>
      </c>
      <c r="AA61" s="2"/>
      <c r="AB61" s="51"/>
      <c r="AC61" s="98" t="s">
        <v>30</v>
      </c>
      <c r="AD61" s="99"/>
      <c r="AE61" s="96" t="b">
        <f t="shared" si="7"/>
        <v>1</v>
      </c>
      <c r="AF61" s="96" t="str">
        <f t="shared" si="8"/>
        <v>DRAW</v>
      </c>
      <c r="AG61" s="96">
        <f t="shared" si="9"/>
        <v>1</v>
      </c>
      <c r="AH61" s="45"/>
    </row>
    <row r="62" spans="1:34" x14ac:dyDescent="0.3">
      <c r="A62" s="35">
        <v>46199</v>
      </c>
      <c r="B62" s="36">
        <v>8.3333333333333329E-2</v>
      </c>
      <c r="C62" s="37">
        <v>3</v>
      </c>
      <c r="D62" s="96" t="s">
        <v>87</v>
      </c>
      <c r="E62" s="97" t="s">
        <v>74</v>
      </c>
      <c r="F62" s="98" t="s">
        <v>30</v>
      </c>
      <c r="G62" s="52" t="s">
        <v>49</v>
      </c>
      <c r="H62" s="2"/>
      <c r="I62" s="51"/>
      <c r="J62" s="98" t="s">
        <v>30</v>
      </c>
      <c r="K62" s="99"/>
      <c r="L62" s="96" t="str">
        <f t="shared" si="0"/>
        <v>DRAW</v>
      </c>
      <c r="M62" s="43"/>
      <c r="N62" s="51"/>
      <c r="O62" s="98" t="s">
        <v>30</v>
      </c>
      <c r="P62" s="99"/>
      <c r="Q62" s="96" t="b">
        <f t="shared" si="1"/>
        <v>1</v>
      </c>
      <c r="R62" s="96" t="str">
        <f t="shared" si="2"/>
        <v>DRAW</v>
      </c>
      <c r="S62" s="96">
        <f t="shared" si="3"/>
        <v>1</v>
      </c>
      <c r="T62" s="2"/>
      <c r="U62" s="51"/>
      <c r="V62" s="98" t="s">
        <v>30</v>
      </c>
      <c r="W62" s="99"/>
      <c r="X62" s="96" t="b">
        <f t="shared" si="4"/>
        <v>1</v>
      </c>
      <c r="Y62" s="96" t="str">
        <f t="shared" si="5"/>
        <v>DRAW</v>
      </c>
      <c r="Z62" s="96">
        <f t="shared" si="6"/>
        <v>1</v>
      </c>
      <c r="AA62" s="2"/>
      <c r="AB62" s="51"/>
      <c r="AC62" s="98" t="s">
        <v>30</v>
      </c>
      <c r="AD62" s="99"/>
      <c r="AE62" s="96" t="b">
        <f t="shared" si="7"/>
        <v>1</v>
      </c>
      <c r="AF62" s="96" t="str">
        <f t="shared" si="8"/>
        <v>DRAW</v>
      </c>
      <c r="AG62" s="96">
        <f t="shared" si="9"/>
        <v>1</v>
      </c>
      <c r="AH62" s="45"/>
    </row>
    <row r="63" spans="1:34" x14ac:dyDescent="0.3">
      <c r="A63" s="35">
        <v>46199</v>
      </c>
      <c r="B63" s="36">
        <v>0.20833333333333334</v>
      </c>
      <c r="C63" s="37">
        <v>3</v>
      </c>
      <c r="D63" s="96" t="s">
        <v>69</v>
      </c>
      <c r="E63" s="97" t="s">
        <v>59</v>
      </c>
      <c r="F63" s="98" t="s">
        <v>30</v>
      </c>
      <c r="G63" s="52" t="s">
        <v>70</v>
      </c>
      <c r="H63" s="2"/>
      <c r="I63" s="51"/>
      <c r="J63" s="98" t="s">
        <v>30</v>
      </c>
      <c r="K63" s="99"/>
      <c r="L63" s="96" t="str">
        <f t="shared" si="0"/>
        <v>DRAW</v>
      </c>
      <c r="M63" s="43"/>
      <c r="N63" s="51"/>
      <c r="O63" s="98" t="s">
        <v>30</v>
      </c>
      <c r="P63" s="99"/>
      <c r="Q63" s="96" t="b">
        <f t="shared" si="1"/>
        <v>1</v>
      </c>
      <c r="R63" s="96" t="str">
        <f t="shared" si="2"/>
        <v>DRAW</v>
      </c>
      <c r="S63" s="96">
        <f t="shared" si="3"/>
        <v>1</v>
      </c>
      <c r="T63" s="2"/>
      <c r="U63" s="51"/>
      <c r="V63" s="98" t="s">
        <v>30</v>
      </c>
      <c r="W63" s="99"/>
      <c r="X63" s="96" t="b">
        <f t="shared" si="4"/>
        <v>1</v>
      </c>
      <c r="Y63" s="96" t="str">
        <f t="shared" si="5"/>
        <v>DRAW</v>
      </c>
      <c r="Z63" s="96">
        <f t="shared" si="6"/>
        <v>1</v>
      </c>
      <c r="AA63" s="2"/>
      <c r="AB63" s="51"/>
      <c r="AC63" s="98" t="s">
        <v>30</v>
      </c>
      <c r="AD63" s="99"/>
      <c r="AE63" s="96" t="b">
        <f t="shared" si="7"/>
        <v>1</v>
      </c>
      <c r="AF63" s="96" t="str">
        <f t="shared" si="8"/>
        <v>DRAW</v>
      </c>
      <c r="AG63" s="96">
        <f t="shared" si="9"/>
        <v>1</v>
      </c>
      <c r="AH63" s="45"/>
    </row>
    <row r="64" spans="1:34" x14ac:dyDescent="0.3">
      <c r="A64" s="35">
        <v>46199</v>
      </c>
      <c r="B64" s="36">
        <v>0.20833333333333334</v>
      </c>
      <c r="C64" s="37">
        <v>3</v>
      </c>
      <c r="D64" s="96" t="s">
        <v>69</v>
      </c>
      <c r="E64" s="97" t="s">
        <v>47</v>
      </c>
      <c r="F64" s="98" t="s">
        <v>30</v>
      </c>
      <c r="G64" s="52" t="s">
        <v>35</v>
      </c>
      <c r="H64" s="2"/>
      <c r="I64" s="51"/>
      <c r="J64" s="98" t="s">
        <v>30</v>
      </c>
      <c r="K64" s="99"/>
      <c r="L64" s="96" t="str">
        <f t="shared" si="0"/>
        <v>DRAW</v>
      </c>
      <c r="M64" s="43"/>
      <c r="N64" s="51"/>
      <c r="O64" s="98" t="s">
        <v>30</v>
      </c>
      <c r="P64" s="99"/>
      <c r="Q64" s="96" t="b">
        <f t="shared" si="1"/>
        <v>1</v>
      </c>
      <c r="R64" s="96" t="str">
        <f t="shared" si="2"/>
        <v>DRAW</v>
      </c>
      <c r="S64" s="96">
        <f t="shared" si="3"/>
        <v>1</v>
      </c>
      <c r="T64" s="2"/>
      <c r="U64" s="51"/>
      <c r="V64" s="98" t="s">
        <v>30</v>
      </c>
      <c r="W64" s="99"/>
      <c r="X64" s="96" t="b">
        <f t="shared" si="4"/>
        <v>1</v>
      </c>
      <c r="Y64" s="96" t="str">
        <f t="shared" si="5"/>
        <v>DRAW</v>
      </c>
      <c r="Z64" s="96">
        <f t="shared" si="6"/>
        <v>1</v>
      </c>
      <c r="AA64" s="2"/>
      <c r="AB64" s="51"/>
      <c r="AC64" s="98" t="s">
        <v>30</v>
      </c>
      <c r="AD64" s="99"/>
      <c r="AE64" s="96" t="b">
        <f t="shared" si="7"/>
        <v>1</v>
      </c>
      <c r="AF64" s="96" t="str">
        <f t="shared" si="8"/>
        <v>DRAW</v>
      </c>
      <c r="AG64" s="96">
        <f t="shared" si="9"/>
        <v>1</v>
      </c>
      <c r="AH64" s="45"/>
    </row>
    <row r="65" spans="1:34" x14ac:dyDescent="0.3">
      <c r="A65" s="35">
        <v>46199</v>
      </c>
      <c r="B65" s="36">
        <v>0.91666666666666663</v>
      </c>
      <c r="C65" s="37">
        <v>3</v>
      </c>
      <c r="D65" s="96" t="s">
        <v>94</v>
      </c>
      <c r="E65" s="97" t="s">
        <v>64</v>
      </c>
      <c r="F65" s="98" t="s">
        <v>30</v>
      </c>
      <c r="G65" s="52" t="s">
        <v>40</v>
      </c>
      <c r="H65" s="2"/>
      <c r="I65" s="51"/>
      <c r="J65" s="98" t="s">
        <v>30</v>
      </c>
      <c r="K65" s="99"/>
      <c r="L65" s="96" t="str">
        <f t="shared" si="0"/>
        <v>DRAW</v>
      </c>
      <c r="M65" s="43"/>
      <c r="N65" s="51"/>
      <c r="O65" s="98" t="s">
        <v>30</v>
      </c>
      <c r="P65" s="99"/>
      <c r="Q65" s="96" t="b">
        <f t="shared" si="1"/>
        <v>1</v>
      </c>
      <c r="R65" s="96" t="str">
        <f t="shared" si="2"/>
        <v>DRAW</v>
      </c>
      <c r="S65" s="96">
        <f t="shared" si="3"/>
        <v>1</v>
      </c>
      <c r="T65" s="2"/>
      <c r="U65" s="51"/>
      <c r="V65" s="98" t="s">
        <v>30</v>
      </c>
      <c r="W65" s="99"/>
      <c r="X65" s="96" t="b">
        <f t="shared" si="4"/>
        <v>1</v>
      </c>
      <c r="Y65" s="96" t="str">
        <f t="shared" si="5"/>
        <v>DRAW</v>
      </c>
      <c r="Z65" s="96">
        <f t="shared" si="6"/>
        <v>1</v>
      </c>
      <c r="AA65" s="2"/>
      <c r="AB65" s="51"/>
      <c r="AC65" s="98" t="s">
        <v>30</v>
      </c>
      <c r="AD65" s="99"/>
      <c r="AE65" s="96" t="b">
        <f t="shared" si="7"/>
        <v>1</v>
      </c>
      <c r="AF65" s="96" t="str">
        <f t="shared" si="8"/>
        <v>DRAW</v>
      </c>
      <c r="AG65" s="96">
        <f t="shared" si="9"/>
        <v>1</v>
      </c>
      <c r="AH65" s="45"/>
    </row>
    <row r="66" spans="1:34" x14ac:dyDescent="0.3">
      <c r="A66" s="35">
        <v>46199</v>
      </c>
      <c r="B66" s="36">
        <v>0.91666666666666663</v>
      </c>
      <c r="C66" s="37">
        <v>3</v>
      </c>
      <c r="D66" s="96" t="s">
        <v>94</v>
      </c>
      <c r="E66" s="97" t="s">
        <v>77</v>
      </c>
      <c r="F66" s="98" t="s">
        <v>30</v>
      </c>
      <c r="G66" s="52" t="s">
        <v>52</v>
      </c>
      <c r="H66" s="2"/>
      <c r="I66" s="51"/>
      <c r="J66" s="98" t="s">
        <v>30</v>
      </c>
      <c r="K66" s="99"/>
      <c r="L66" s="96" t="str">
        <f t="shared" si="0"/>
        <v>DRAW</v>
      </c>
      <c r="M66" s="43"/>
      <c r="N66" s="51"/>
      <c r="O66" s="98" t="s">
        <v>30</v>
      </c>
      <c r="P66" s="99"/>
      <c r="Q66" s="96" t="b">
        <f t="shared" si="1"/>
        <v>1</v>
      </c>
      <c r="R66" s="96" t="str">
        <f t="shared" si="2"/>
        <v>DRAW</v>
      </c>
      <c r="S66" s="96">
        <f t="shared" si="3"/>
        <v>1</v>
      </c>
      <c r="T66" s="2"/>
      <c r="U66" s="51"/>
      <c r="V66" s="98" t="s">
        <v>30</v>
      </c>
      <c r="W66" s="99"/>
      <c r="X66" s="96" t="b">
        <f t="shared" si="4"/>
        <v>1</v>
      </c>
      <c r="Y66" s="96" t="str">
        <f t="shared" si="5"/>
        <v>DRAW</v>
      </c>
      <c r="Z66" s="96">
        <f t="shared" si="6"/>
        <v>1</v>
      </c>
      <c r="AA66" s="2"/>
      <c r="AB66" s="51"/>
      <c r="AC66" s="98" t="s">
        <v>30</v>
      </c>
      <c r="AD66" s="99"/>
      <c r="AE66" s="96" t="b">
        <f t="shared" si="7"/>
        <v>1</v>
      </c>
      <c r="AF66" s="96" t="str">
        <f t="shared" si="8"/>
        <v>DRAW</v>
      </c>
      <c r="AG66" s="96">
        <f t="shared" si="9"/>
        <v>1</v>
      </c>
      <c r="AH66" s="45"/>
    </row>
    <row r="67" spans="1:34" x14ac:dyDescent="0.3">
      <c r="A67" s="35">
        <v>46200</v>
      </c>
      <c r="B67" s="36">
        <v>0.125</v>
      </c>
      <c r="C67" s="37">
        <v>3</v>
      </c>
      <c r="D67" s="96" t="s">
        <v>90</v>
      </c>
      <c r="E67" s="97" t="s">
        <v>39</v>
      </c>
      <c r="F67" s="98" t="s">
        <v>30</v>
      </c>
      <c r="G67" s="52" t="s">
        <v>51</v>
      </c>
      <c r="H67" s="2"/>
      <c r="I67" s="51"/>
      <c r="J67" s="98" t="s">
        <v>30</v>
      </c>
      <c r="K67" s="99"/>
      <c r="L67" s="96" t="str">
        <f t="shared" si="0"/>
        <v>DRAW</v>
      </c>
      <c r="M67" s="43"/>
      <c r="N67" s="51"/>
      <c r="O67" s="98" t="s">
        <v>30</v>
      </c>
      <c r="P67" s="99"/>
      <c r="Q67" s="96" t="b">
        <f t="shared" si="1"/>
        <v>1</v>
      </c>
      <c r="R67" s="96" t="str">
        <f t="shared" si="2"/>
        <v>DRAW</v>
      </c>
      <c r="S67" s="96">
        <f t="shared" si="3"/>
        <v>1</v>
      </c>
      <c r="T67" s="2"/>
      <c r="U67" s="51"/>
      <c r="V67" s="98" t="s">
        <v>30</v>
      </c>
      <c r="W67" s="99"/>
      <c r="X67" s="96" t="b">
        <f t="shared" si="4"/>
        <v>1</v>
      </c>
      <c r="Y67" s="96" t="str">
        <f t="shared" si="5"/>
        <v>DRAW</v>
      </c>
      <c r="Z67" s="96">
        <f t="shared" si="6"/>
        <v>1</v>
      </c>
      <c r="AA67" s="2"/>
      <c r="AB67" s="51"/>
      <c r="AC67" s="98" t="s">
        <v>30</v>
      </c>
      <c r="AD67" s="99"/>
      <c r="AE67" s="96" t="b">
        <f t="shared" si="7"/>
        <v>1</v>
      </c>
      <c r="AF67" s="96" t="str">
        <f t="shared" si="8"/>
        <v>DRAW</v>
      </c>
      <c r="AG67" s="96">
        <f t="shared" si="9"/>
        <v>1</v>
      </c>
      <c r="AH67" s="45"/>
    </row>
    <row r="68" spans="1:34" x14ac:dyDescent="0.3">
      <c r="A68" s="35">
        <v>46200</v>
      </c>
      <c r="B68" s="36">
        <v>0.125</v>
      </c>
      <c r="C68" s="37">
        <v>3</v>
      </c>
      <c r="D68" s="96" t="s">
        <v>90</v>
      </c>
      <c r="E68" s="97" t="s">
        <v>76</v>
      </c>
      <c r="F68" s="98" t="s">
        <v>30</v>
      </c>
      <c r="G68" s="52" t="s">
        <v>63</v>
      </c>
      <c r="H68" s="2"/>
      <c r="I68" s="51"/>
      <c r="J68" s="98" t="s">
        <v>30</v>
      </c>
      <c r="K68" s="99"/>
      <c r="L68" s="96" t="str">
        <f t="shared" si="0"/>
        <v>DRAW</v>
      </c>
      <c r="M68" s="43"/>
      <c r="N68" s="51"/>
      <c r="O68" s="98" t="s">
        <v>30</v>
      </c>
      <c r="P68" s="99"/>
      <c r="Q68" s="96" t="b">
        <f t="shared" si="1"/>
        <v>1</v>
      </c>
      <c r="R68" s="96" t="str">
        <f t="shared" si="2"/>
        <v>DRAW</v>
      </c>
      <c r="S68" s="96">
        <f t="shared" si="3"/>
        <v>1</v>
      </c>
      <c r="T68" s="2"/>
      <c r="U68" s="51"/>
      <c r="V68" s="98" t="s">
        <v>30</v>
      </c>
      <c r="W68" s="99"/>
      <c r="X68" s="96" t="b">
        <f t="shared" si="4"/>
        <v>1</v>
      </c>
      <c r="Y68" s="96" t="str">
        <f t="shared" si="5"/>
        <v>DRAW</v>
      </c>
      <c r="Z68" s="96">
        <f t="shared" si="6"/>
        <v>1</v>
      </c>
      <c r="AA68" s="2"/>
      <c r="AB68" s="51"/>
      <c r="AC68" s="98" t="s">
        <v>30</v>
      </c>
      <c r="AD68" s="99"/>
      <c r="AE68" s="96" t="b">
        <f t="shared" si="7"/>
        <v>1</v>
      </c>
      <c r="AF68" s="96" t="str">
        <f t="shared" si="8"/>
        <v>DRAW</v>
      </c>
      <c r="AG68" s="96">
        <f t="shared" si="9"/>
        <v>1</v>
      </c>
      <c r="AH68" s="45"/>
    </row>
    <row r="69" spans="1:34" x14ac:dyDescent="0.3">
      <c r="A69" s="35">
        <v>46200</v>
      </c>
      <c r="B69" s="36">
        <v>0.25</v>
      </c>
      <c r="C69" s="37">
        <v>3</v>
      </c>
      <c r="D69" s="96" t="s">
        <v>91</v>
      </c>
      <c r="E69" s="97" t="s">
        <v>50</v>
      </c>
      <c r="F69" s="98" t="s">
        <v>30</v>
      </c>
      <c r="G69" s="52" t="s">
        <v>62</v>
      </c>
      <c r="H69" s="2"/>
      <c r="I69" s="51"/>
      <c r="J69" s="98" t="s">
        <v>30</v>
      </c>
      <c r="K69" s="99"/>
      <c r="L69" s="96" t="str">
        <f t="shared" si="0"/>
        <v>DRAW</v>
      </c>
      <c r="M69" s="43"/>
      <c r="N69" s="51"/>
      <c r="O69" s="98" t="s">
        <v>30</v>
      </c>
      <c r="P69" s="99"/>
      <c r="Q69" s="96" t="b">
        <f t="shared" si="1"/>
        <v>1</v>
      </c>
      <c r="R69" s="96" t="str">
        <f t="shared" si="2"/>
        <v>DRAW</v>
      </c>
      <c r="S69" s="96">
        <f t="shared" si="3"/>
        <v>1</v>
      </c>
      <c r="T69" s="2"/>
      <c r="U69" s="51"/>
      <c r="V69" s="98" t="s">
        <v>30</v>
      </c>
      <c r="W69" s="99"/>
      <c r="X69" s="96" t="b">
        <f t="shared" si="4"/>
        <v>1</v>
      </c>
      <c r="Y69" s="96" t="str">
        <f t="shared" si="5"/>
        <v>DRAW</v>
      </c>
      <c r="Z69" s="96">
        <f t="shared" si="6"/>
        <v>1</v>
      </c>
      <c r="AA69" s="2"/>
      <c r="AB69" s="51"/>
      <c r="AC69" s="98" t="s">
        <v>30</v>
      </c>
      <c r="AD69" s="99"/>
      <c r="AE69" s="96" t="b">
        <f t="shared" si="7"/>
        <v>1</v>
      </c>
      <c r="AF69" s="96" t="str">
        <f t="shared" si="8"/>
        <v>DRAW</v>
      </c>
      <c r="AG69" s="96">
        <f t="shared" si="9"/>
        <v>1</v>
      </c>
      <c r="AH69" s="45"/>
    </row>
    <row r="70" spans="1:34" x14ac:dyDescent="0.3">
      <c r="A70" s="35">
        <v>46200</v>
      </c>
      <c r="B70" s="36">
        <v>0.25</v>
      </c>
      <c r="C70" s="37">
        <v>3</v>
      </c>
      <c r="D70" s="96" t="s">
        <v>91</v>
      </c>
      <c r="E70" s="97" t="s">
        <v>75</v>
      </c>
      <c r="F70" s="98" t="s">
        <v>30</v>
      </c>
      <c r="G70" s="52" t="s">
        <v>38</v>
      </c>
      <c r="H70" s="2"/>
      <c r="I70" s="51"/>
      <c r="J70" s="98" t="s">
        <v>30</v>
      </c>
      <c r="K70" s="99"/>
      <c r="L70" s="96" t="str">
        <f t="shared" si="0"/>
        <v>DRAW</v>
      </c>
      <c r="M70" s="43"/>
      <c r="N70" s="51"/>
      <c r="O70" s="98" t="s">
        <v>30</v>
      </c>
      <c r="P70" s="99"/>
      <c r="Q70" s="96" t="b">
        <f t="shared" si="1"/>
        <v>1</v>
      </c>
      <c r="R70" s="96" t="str">
        <f t="shared" si="2"/>
        <v>DRAW</v>
      </c>
      <c r="S70" s="96">
        <f t="shared" si="3"/>
        <v>1</v>
      </c>
      <c r="T70" s="2"/>
      <c r="U70" s="51"/>
      <c r="V70" s="98" t="s">
        <v>30</v>
      </c>
      <c r="W70" s="99"/>
      <c r="X70" s="96" t="b">
        <f t="shared" si="4"/>
        <v>1</v>
      </c>
      <c r="Y70" s="96" t="str">
        <f t="shared" si="5"/>
        <v>DRAW</v>
      </c>
      <c r="Z70" s="96">
        <f t="shared" si="6"/>
        <v>1</v>
      </c>
      <c r="AA70" s="2"/>
      <c r="AB70" s="51"/>
      <c r="AC70" s="98" t="s">
        <v>30</v>
      </c>
      <c r="AD70" s="99"/>
      <c r="AE70" s="96" t="b">
        <f t="shared" si="7"/>
        <v>1</v>
      </c>
      <c r="AF70" s="96" t="str">
        <f t="shared" si="8"/>
        <v>DRAW</v>
      </c>
      <c r="AG70" s="96">
        <f t="shared" si="9"/>
        <v>1</v>
      </c>
      <c r="AH70" s="45"/>
    </row>
    <row r="71" spans="1:34" x14ac:dyDescent="0.3">
      <c r="A71" s="35">
        <v>46201</v>
      </c>
      <c r="B71" s="36">
        <v>0</v>
      </c>
      <c r="C71" s="37">
        <v>3</v>
      </c>
      <c r="D71" s="96" t="s">
        <v>99</v>
      </c>
      <c r="E71" s="97" t="s">
        <v>80</v>
      </c>
      <c r="F71" s="98" t="s">
        <v>30</v>
      </c>
      <c r="G71" s="52" t="s">
        <v>55</v>
      </c>
      <c r="H71" s="2"/>
      <c r="I71" s="51"/>
      <c r="J71" s="98" t="s">
        <v>30</v>
      </c>
      <c r="K71" s="99"/>
      <c r="L71" s="96" t="str">
        <f t="shared" ref="L71:L134" si="10">IF(I71&gt;K71,E71,IF(K71&gt;I71,G71,"DRAW"))</f>
        <v>DRAW</v>
      </c>
      <c r="M71" s="43"/>
      <c r="N71" s="51"/>
      <c r="O71" s="98" t="s">
        <v>30</v>
      </c>
      <c r="P71" s="99"/>
      <c r="Q71" s="96" t="b">
        <f t="shared" ref="Q71:Q134" si="11">AND(N71=$I71,P71=$K71)</f>
        <v>1</v>
      </c>
      <c r="R71" s="96" t="str">
        <f t="shared" ref="R71:R134" si="12">IF(N71&gt;P71,$E71,IF(P71&gt;N71,$G71,"DRAW"))</f>
        <v>DRAW</v>
      </c>
      <c r="S71" s="96">
        <f t="shared" ref="S71:S134" si="13">IF(R71=$L71,1,0)</f>
        <v>1</v>
      </c>
      <c r="T71" s="2"/>
      <c r="U71" s="51"/>
      <c r="V71" s="98" t="s">
        <v>30</v>
      </c>
      <c r="W71" s="99"/>
      <c r="X71" s="96" t="b">
        <f t="shared" ref="X71:X134" si="14">AND(U71=$I71,W71=$K71)</f>
        <v>1</v>
      </c>
      <c r="Y71" s="96" t="str">
        <f t="shared" ref="Y71:Y134" si="15">IF(U71&gt;W71,$E71,IF(W71&gt;U71,$G71,"DRAW"))</f>
        <v>DRAW</v>
      </c>
      <c r="Z71" s="96">
        <f t="shared" ref="Z71:Z134" si="16">IF(Y71=$L71,1,0)</f>
        <v>1</v>
      </c>
      <c r="AA71" s="2"/>
      <c r="AB71" s="51"/>
      <c r="AC71" s="98" t="s">
        <v>30</v>
      </c>
      <c r="AD71" s="99"/>
      <c r="AE71" s="96" t="b">
        <f t="shared" ref="AE71:AE134" si="17">AND(AB71=$I71,AD71=$K71)</f>
        <v>1</v>
      </c>
      <c r="AF71" s="96" t="str">
        <f t="shared" ref="AF71:AF134" si="18">IF(AB71&gt;AD71,$E71,IF(AD71&gt;AB71,$G71,"DRAW"))</f>
        <v>DRAW</v>
      </c>
      <c r="AG71" s="96">
        <f t="shared" ref="AG71:AG134" si="19">IF(AF71=$L71,1,0)</f>
        <v>1</v>
      </c>
      <c r="AH71" s="45"/>
    </row>
    <row r="72" spans="1:34" x14ac:dyDescent="0.3">
      <c r="A72" s="35">
        <v>46201</v>
      </c>
      <c r="B72" s="36">
        <v>0</v>
      </c>
      <c r="C72" s="37">
        <v>3</v>
      </c>
      <c r="D72" s="96" t="s">
        <v>99</v>
      </c>
      <c r="E72" s="97" t="s">
        <v>43</v>
      </c>
      <c r="F72" s="98" t="s">
        <v>30</v>
      </c>
      <c r="G72" s="52" t="s">
        <v>67</v>
      </c>
      <c r="H72" s="2"/>
      <c r="I72" s="51"/>
      <c r="J72" s="98" t="s">
        <v>30</v>
      </c>
      <c r="K72" s="99"/>
      <c r="L72" s="96" t="str">
        <f t="shared" si="10"/>
        <v>DRAW</v>
      </c>
      <c r="M72" s="43"/>
      <c r="N72" s="51"/>
      <c r="O72" s="98" t="s">
        <v>30</v>
      </c>
      <c r="P72" s="99"/>
      <c r="Q72" s="96" t="b">
        <f t="shared" si="11"/>
        <v>1</v>
      </c>
      <c r="R72" s="96" t="str">
        <f t="shared" si="12"/>
        <v>DRAW</v>
      </c>
      <c r="S72" s="96">
        <f t="shared" si="13"/>
        <v>1</v>
      </c>
      <c r="T72" s="2"/>
      <c r="U72" s="51"/>
      <c r="V72" s="98" t="s">
        <v>30</v>
      </c>
      <c r="W72" s="99"/>
      <c r="X72" s="96" t="b">
        <f t="shared" si="14"/>
        <v>1</v>
      </c>
      <c r="Y72" s="96" t="str">
        <f t="shared" si="15"/>
        <v>DRAW</v>
      </c>
      <c r="Z72" s="96">
        <f t="shared" si="16"/>
        <v>1</v>
      </c>
      <c r="AA72" s="2"/>
      <c r="AB72" s="51"/>
      <c r="AC72" s="98" t="s">
        <v>30</v>
      </c>
      <c r="AD72" s="99"/>
      <c r="AE72" s="96" t="b">
        <f t="shared" si="17"/>
        <v>1</v>
      </c>
      <c r="AF72" s="96" t="str">
        <f t="shared" si="18"/>
        <v>DRAW</v>
      </c>
      <c r="AG72" s="96">
        <f t="shared" si="19"/>
        <v>1</v>
      </c>
      <c r="AH72" s="45"/>
    </row>
    <row r="73" spans="1:34" x14ac:dyDescent="0.3">
      <c r="A73" s="35">
        <v>46201</v>
      </c>
      <c r="B73" s="36">
        <v>0.10416666666666667</v>
      </c>
      <c r="C73" s="37">
        <v>3</v>
      </c>
      <c r="D73" s="96" t="s">
        <v>98</v>
      </c>
      <c r="E73" s="97" t="s">
        <v>42</v>
      </c>
      <c r="F73" s="98" t="s">
        <v>30</v>
      </c>
      <c r="G73" s="52" t="s">
        <v>66</v>
      </c>
      <c r="H73" s="2"/>
      <c r="I73" s="51"/>
      <c r="J73" s="98" t="s">
        <v>30</v>
      </c>
      <c r="K73" s="99"/>
      <c r="L73" s="96" t="str">
        <f t="shared" si="10"/>
        <v>DRAW</v>
      </c>
      <c r="M73" s="43"/>
      <c r="N73" s="51"/>
      <c r="O73" s="98" t="s">
        <v>30</v>
      </c>
      <c r="P73" s="99"/>
      <c r="Q73" s="96" t="b">
        <f t="shared" si="11"/>
        <v>1</v>
      </c>
      <c r="R73" s="96" t="str">
        <f t="shared" si="12"/>
        <v>DRAW</v>
      </c>
      <c r="S73" s="96">
        <f t="shared" si="13"/>
        <v>1</v>
      </c>
      <c r="T73" s="2"/>
      <c r="U73" s="51"/>
      <c r="V73" s="98" t="s">
        <v>30</v>
      </c>
      <c r="W73" s="99"/>
      <c r="X73" s="96" t="b">
        <f t="shared" si="14"/>
        <v>1</v>
      </c>
      <c r="Y73" s="96" t="str">
        <f t="shared" si="15"/>
        <v>DRAW</v>
      </c>
      <c r="Z73" s="96">
        <f t="shared" si="16"/>
        <v>1</v>
      </c>
      <c r="AA73" s="2"/>
      <c r="AB73" s="51"/>
      <c r="AC73" s="98" t="s">
        <v>30</v>
      </c>
      <c r="AD73" s="99"/>
      <c r="AE73" s="96" t="b">
        <f t="shared" si="17"/>
        <v>1</v>
      </c>
      <c r="AF73" s="96" t="str">
        <f t="shared" si="18"/>
        <v>DRAW</v>
      </c>
      <c r="AG73" s="96">
        <f t="shared" si="19"/>
        <v>1</v>
      </c>
      <c r="AH73" s="45"/>
    </row>
    <row r="74" spans="1:34" x14ac:dyDescent="0.3">
      <c r="A74" s="35">
        <v>46201</v>
      </c>
      <c r="B74" s="36">
        <v>0.10416666666666667</v>
      </c>
      <c r="C74" s="37">
        <v>3</v>
      </c>
      <c r="D74" s="96" t="s">
        <v>98</v>
      </c>
      <c r="E74" s="97" t="s">
        <v>54</v>
      </c>
      <c r="F74" s="98" t="s">
        <v>30</v>
      </c>
      <c r="G74" s="52" t="s">
        <v>79</v>
      </c>
      <c r="H74" s="2"/>
      <c r="I74" s="51"/>
      <c r="J74" s="98" t="s">
        <v>30</v>
      </c>
      <c r="K74" s="99"/>
      <c r="L74" s="96" t="str">
        <f t="shared" si="10"/>
        <v>DRAW</v>
      </c>
      <c r="M74" s="43"/>
      <c r="N74" s="51"/>
      <c r="O74" s="98" t="s">
        <v>30</v>
      </c>
      <c r="P74" s="99"/>
      <c r="Q74" s="96" t="b">
        <f t="shared" si="11"/>
        <v>1</v>
      </c>
      <c r="R74" s="96" t="str">
        <f t="shared" si="12"/>
        <v>DRAW</v>
      </c>
      <c r="S74" s="96">
        <f t="shared" si="13"/>
        <v>1</v>
      </c>
      <c r="T74" s="2"/>
      <c r="U74" s="51"/>
      <c r="V74" s="98" t="s">
        <v>30</v>
      </c>
      <c r="W74" s="99"/>
      <c r="X74" s="96" t="b">
        <f t="shared" si="14"/>
        <v>1</v>
      </c>
      <c r="Y74" s="96" t="str">
        <f t="shared" si="15"/>
        <v>DRAW</v>
      </c>
      <c r="Z74" s="96">
        <f t="shared" si="16"/>
        <v>1</v>
      </c>
      <c r="AA74" s="2"/>
      <c r="AB74" s="51"/>
      <c r="AC74" s="98" t="s">
        <v>30</v>
      </c>
      <c r="AD74" s="99"/>
      <c r="AE74" s="96" t="b">
        <f t="shared" si="17"/>
        <v>1</v>
      </c>
      <c r="AF74" s="96" t="str">
        <f t="shared" si="18"/>
        <v>DRAW</v>
      </c>
      <c r="AG74" s="96">
        <f t="shared" si="19"/>
        <v>1</v>
      </c>
      <c r="AH74" s="45"/>
    </row>
    <row r="75" spans="1:34" x14ac:dyDescent="0.3">
      <c r="A75" s="35">
        <v>46201</v>
      </c>
      <c r="B75" s="36">
        <v>0.20833333333333334</v>
      </c>
      <c r="C75" s="37">
        <v>3</v>
      </c>
      <c r="D75" s="96" t="s">
        <v>97</v>
      </c>
      <c r="E75" s="97" t="s">
        <v>41</v>
      </c>
      <c r="F75" s="98" t="s">
        <v>30</v>
      </c>
      <c r="G75" s="52" t="s">
        <v>65</v>
      </c>
      <c r="H75" s="2"/>
      <c r="I75" s="51"/>
      <c r="J75" s="98" t="s">
        <v>30</v>
      </c>
      <c r="K75" s="99"/>
      <c r="L75" s="96" t="str">
        <f t="shared" si="10"/>
        <v>DRAW</v>
      </c>
      <c r="M75" s="43"/>
      <c r="N75" s="51"/>
      <c r="O75" s="98" t="s">
        <v>30</v>
      </c>
      <c r="P75" s="99"/>
      <c r="Q75" s="96" t="b">
        <f t="shared" si="11"/>
        <v>1</v>
      </c>
      <c r="R75" s="96" t="str">
        <f t="shared" si="12"/>
        <v>DRAW</v>
      </c>
      <c r="S75" s="96">
        <f t="shared" si="13"/>
        <v>1</v>
      </c>
      <c r="T75" s="2"/>
      <c r="U75" s="51"/>
      <c r="V75" s="98" t="s">
        <v>30</v>
      </c>
      <c r="W75" s="99"/>
      <c r="X75" s="96" t="b">
        <f t="shared" si="14"/>
        <v>1</v>
      </c>
      <c r="Y75" s="96" t="str">
        <f t="shared" si="15"/>
        <v>DRAW</v>
      </c>
      <c r="Z75" s="96">
        <f t="shared" si="16"/>
        <v>1</v>
      </c>
      <c r="AA75" s="2"/>
      <c r="AB75" s="51"/>
      <c r="AC75" s="98" t="s">
        <v>30</v>
      </c>
      <c r="AD75" s="99"/>
      <c r="AE75" s="96" t="b">
        <f t="shared" si="17"/>
        <v>1</v>
      </c>
      <c r="AF75" s="96" t="str">
        <f t="shared" si="18"/>
        <v>DRAW</v>
      </c>
      <c r="AG75" s="96">
        <f t="shared" si="19"/>
        <v>1</v>
      </c>
      <c r="AH75" s="45"/>
    </row>
    <row r="76" spans="1:34" ht="14.95" thickBot="1" x14ac:dyDescent="0.35">
      <c r="A76" s="79">
        <v>46201</v>
      </c>
      <c r="B76" s="80">
        <v>0.20833333333333334</v>
      </c>
      <c r="C76" s="81">
        <v>3</v>
      </c>
      <c r="D76" s="81" t="s">
        <v>97</v>
      </c>
      <c r="E76" s="82" t="s">
        <v>78</v>
      </c>
      <c r="F76" s="83" t="s">
        <v>30</v>
      </c>
      <c r="G76" s="84" t="s">
        <v>53</v>
      </c>
      <c r="H76" s="2"/>
      <c r="I76" s="85"/>
      <c r="J76" s="83" t="s">
        <v>30</v>
      </c>
      <c r="K76" s="86"/>
      <c r="L76" s="81" t="str">
        <f t="shared" si="10"/>
        <v>DRAW</v>
      </c>
      <c r="M76" s="43"/>
      <c r="N76" s="85"/>
      <c r="O76" s="83" t="s">
        <v>30</v>
      </c>
      <c r="P76" s="86"/>
      <c r="Q76" s="81" t="b">
        <f t="shared" si="11"/>
        <v>1</v>
      </c>
      <c r="R76" s="81" t="str">
        <f t="shared" si="12"/>
        <v>DRAW</v>
      </c>
      <c r="S76" s="81">
        <f t="shared" si="13"/>
        <v>1</v>
      </c>
      <c r="T76" s="2"/>
      <c r="U76" s="85"/>
      <c r="V76" s="83" t="s">
        <v>30</v>
      </c>
      <c r="W76" s="86"/>
      <c r="X76" s="81" t="b">
        <f t="shared" si="14"/>
        <v>1</v>
      </c>
      <c r="Y76" s="81" t="str">
        <f t="shared" si="15"/>
        <v>DRAW</v>
      </c>
      <c r="Z76" s="81">
        <f t="shared" si="16"/>
        <v>1</v>
      </c>
      <c r="AA76" s="2"/>
      <c r="AB76" s="85"/>
      <c r="AC76" s="83" t="s">
        <v>30</v>
      </c>
      <c r="AD76" s="86"/>
      <c r="AE76" s="81" t="b">
        <f t="shared" si="17"/>
        <v>1</v>
      </c>
      <c r="AF76" s="81" t="str">
        <f t="shared" si="18"/>
        <v>DRAW</v>
      </c>
      <c r="AG76" s="81">
        <f t="shared" si="19"/>
        <v>1</v>
      </c>
      <c r="AH76" s="45"/>
    </row>
    <row r="77" spans="1:34" x14ac:dyDescent="0.3">
      <c r="A77" s="100">
        <v>46201</v>
      </c>
      <c r="B77" s="101">
        <v>0.91666666666666663</v>
      </c>
      <c r="C77" s="102"/>
      <c r="D77" s="103" t="s">
        <v>101</v>
      </c>
      <c r="E77" s="104"/>
      <c r="F77" s="105" t="s">
        <v>30</v>
      </c>
      <c r="G77" s="106"/>
      <c r="H77" s="2"/>
      <c r="I77" s="107"/>
      <c r="J77" s="105" t="s">
        <v>30</v>
      </c>
      <c r="K77" s="108"/>
      <c r="L77" s="103" t="str">
        <f t="shared" si="10"/>
        <v>DRAW</v>
      </c>
      <c r="M77" s="43"/>
      <c r="N77" s="107"/>
      <c r="O77" s="105" t="s">
        <v>30</v>
      </c>
      <c r="P77" s="108"/>
      <c r="Q77" s="103" t="b">
        <f t="shared" si="11"/>
        <v>1</v>
      </c>
      <c r="R77" s="103" t="str">
        <f t="shared" si="12"/>
        <v>DRAW</v>
      </c>
      <c r="S77" s="103">
        <f t="shared" si="13"/>
        <v>1</v>
      </c>
      <c r="T77" s="2"/>
      <c r="U77" s="107"/>
      <c r="V77" s="105" t="s">
        <v>30</v>
      </c>
      <c r="W77" s="108"/>
      <c r="X77" s="103" t="b">
        <f t="shared" si="14"/>
        <v>1</v>
      </c>
      <c r="Y77" s="103" t="str">
        <f t="shared" si="15"/>
        <v>DRAW</v>
      </c>
      <c r="Z77" s="103">
        <f t="shared" si="16"/>
        <v>1</v>
      </c>
      <c r="AA77" s="2"/>
      <c r="AB77" s="107"/>
      <c r="AC77" s="105" t="s">
        <v>30</v>
      </c>
      <c r="AD77" s="108"/>
      <c r="AE77" s="103" t="b">
        <f t="shared" si="17"/>
        <v>1</v>
      </c>
      <c r="AF77" s="103" t="str">
        <f t="shared" si="18"/>
        <v>DRAW</v>
      </c>
      <c r="AG77" s="103">
        <f t="shared" si="19"/>
        <v>1</v>
      </c>
      <c r="AH77" s="45"/>
    </row>
    <row r="78" spans="1:34" x14ac:dyDescent="0.3">
      <c r="A78" s="109"/>
      <c r="B78" s="110"/>
      <c r="C78" s="111"/>
      <c r="D78" s="112"/>
      <c r="E78" s="113"/>
      <c r="F78" s="114" t="s">
        <v>30</v>
      </c>
      <c r="G78" s="115"/>
      <c r="H78" s="2"/>
      <c r="I78" s="94"/>
      <c r="J78" s="92" t="s">
        <v>30</v>
      </c>
      <c r="K78" s="95"/>
      <c r="L78" s="90" t="str">
        <f t="shared" si="10"/>
        <v>DRAW</v>
      </c>
      <c r="M78" s="43"/>
      <c r="N78" s="94"/>
      <c r="O78" s="92" t="s">
        <v>30</v>
      </c>
      <c r="P78" s="95"/>
      <c r="Q78" s="90" t="b">
        <f t="shared" si="11"/>
        <v>1</v>
      </c>
      <c r="R78" s="90" t="str">
        <f t="shared" si="12"/>
        <v>DRAW</v>
      </c>
      <c r="S78" s="90">
        <f t="shared" si="13"/>
        <v>1</v>
      </c>
      <c r="T78" s="2"/>
      <c r="U78" s="94"/>
      <c r="V78" s="92" t="s">
        <v>30</v>
      </c>
      <c r="W78" s="95"/>
      <c r="X78" s="90" t="b">
        <f t="shared" si="14"/>
        <v>1</v>
      </c>
      <c r="Y78" s="90" t="str">
        <f t="shared" si="15"/>
        <v>DRAW</v>
      </c>
      <c r="Z78" s="90">
        <f t="shared" si="16"/>
        <v>1</v>
      </c>
      <c r="AA78" s="2"/>
      <c r="AB78" s="94"/>
      <c r="AC78" s="92" t="s">
        <v>30</v>
      </c>
      <c r="AD78" s="95"/>
      <c r="AE78" s="90" t="b">
        <f t="shared" si="17"/>
        <v>1</v>
      </c>
      <c r="AF78" s="90" t="str">
        <f t="shared" si="18"/>
        <v>DRAW</v>
      </c>
      <c r="AG78" s="90">
        <f t="shared" si="19"/>
        <v>1</v>
      </c>
      <c r="AH78" s="45"/>
    </row>
    <row r="79" spans="1:34" x14ac:dyDescent="0.3">
      <c r="A79" s="35"/>
      <c r="B79" s="36"/>
      <c r="C79" s="111"/>
      <c r="D79" s="116"/>
      <c r="E79" s="117"/>
      <c r="F79" s="118" t="s">
        <v>30</v>
      </c>
      <c r="G79" s="119"/>
      <c r="H79" s="2"/>
      <c r="I79" s="47"/>
      <c r="J79" s="88" t="s">
        <v>30</v>
      </c>
      <c r="K79" s="89"/>
      <c r="L79" s="37" t="str">
        <f t="shared" si="10"/>
        <v>DRAW</v>
      </c>
      <c r="M79" s="43"/>
      <c r="N79" s="47"/>
      <c r="O79" s="88" t="s">
        <v>30</v>
      </c>
      <c r="P79" s="89"/>
      <c r="Q79" s="37" t="b">
        <f t="shared" si="11"/>
        <v>1</v>
      </c>
      <c r="R79" s="37" t="str">
        <f t="shared" si="12"/>
        <v>DRAW</v>
      </c>
      <c r="S79" s="37">
        <f t="shared" si="13"/>
        <v>1</v>
      </c>
      <c r="T79" s="2"/>
      <c r="U79" s="47"/>
      <c r="V79" s="88" t="s">
        <v>30</v>
      </c>
      <c r="W79" s="89"/>
      <c r="X79" s="37" t="b">
        <f t="shared" si="14"/>
        <v>1</v>
      </c>
      <c r="Y79" s="37" t="str">
        <f t="shared" si="15"/>
        <v>DRAW</v>
      </c>
      <c r="Z79" s="37">
        <f t="shared" si="16"/>
        <v>1</v>
      </c>
      <c r="AA79" s="2"/>
      <c r="AB79" s="47"/>
      <c r="AC79" s="88" t="s">
        <v>30</v>
      </c>
      <c r="AD79" s="89"/>
      <c r="AE79" s="37" t="b">
        <f t="shared" si="17"/>
        <v>1</v>
      </c>
      <c r="AF79" s="37" t="str">
        <f t="shared" si="18"/>
        <v>DRAW</v>
      </c>
      <c r="AG79" s="37">
        <f t="shared" si="19"/>
        <v>1</v>
      </c>
      <c r="AH79" s="45"/>
    </row>
    <row r="80" spans="1:34" x14ac:dyDescent="0.3">
      <c r="A80" s="120">
        <v>46202</v>
      </c>
      <c r="B80" s="121">
        <v>0.83333333333333337</v>
      </c>
      <c r="C80" s="111"/>
      <c r="D80" s="96" t="s">
        <v>101</v>
      </c>
      <c r="E80" s="97"/>
      <c r="F80" s="98" t="s">
        <v>30</v>
      </c>
      <c r="G80" s="52"/>
      <c r="H80" s="2"/>
      <c r="I80" s="51"/>
      <c r="J80" s="98" t="s">
        <v>30</v>
      </c>
      <c r="K80" s="99"/>
      <c r="L80" s="96" t="str">
        <f t="shared" si="10"/>
        <v>DRAW</v>
      </c>
      <c r="M80" s="43"/>
      <c r="N80" s="51"/>
      <c r="O80" s="98" t="s">
        <v>30</v>
      </c>
      <c r="P80" s="99"/>
      <c r="Q80" s="96" t="b">
        <f t="shared" si="11"/>
        <v>1</v>
      </c>
      <c r="R80" s="96" t="str">
        <f t="shared" si="12"/>
        <v>DRAW</v>
      </c>
      <c r="S80" s="96">
        <f t="shared" si="13"/>
        <v>1</v>
      </c>
      <c r="T80" s="2"/>
      <c r="U80" s="51"/>
      <c r="V80" s="98" t="s">
        <v>30</v>
      </c>
      <c r="W80" s="99"/>
      <c r="X80" s="96" t="b">
        <f t="shared" si="14"/>
        <v>1</v>
      </c>
      <c r="Y80" s="96" t="str">
        <f t="shared" si="15"/>
        <v>DRAW</v>
      </c>
      <c r="Z80" s="96">
        <f t="shared" si="16"/>
        <v>1</v>
      </c>
      <c r="AA80" s="2"/>
      <c r="AB80" s="51"/>
      <c r="AC80" s="98" t="s">
        <v>30</v>
      </c>
      <c r="AD80" s="99"/>
      <c r="AE80" s="96" t="b">
        <f t="shared" si="17"/>
        <v>1</v>
      </c>
      <c r="AF80" s="96" t="str">
        <f t="shared" si="18"/>
        <v>DRAW</v>
      </c>
      <c r="AG80" s="96">
        <f t="shared" si="19"/>
        <v>1</v>
      </c>
      <c r="AH80" s="45"/>
    </row>
    <row r="81" spans="1:34" x14ac:dyDescent="0.3">
      <c r="A81" s="109"/>
      <c r="B81" s="110"/>
      <c r="C81" s="111"/>
      <c r="D81" s="112"/>
      <c r="E81" s="113"/>
      <c r="F81" s="114" t="s">
        <v>30</v>
      </c>
      <c r="G81" s="115"/>
      <c r="H81" s="2"/>
      <c r="I81" s="94"/>
      <c r="J81" s="92" t="s">
        <v>30</v>
      </c>
      <c r="K81" s="95"/>
      <c r="L81" s="90" t="str">
        <f t="shared" si="10"/>
        <v>DRAW</v>
      </c>
      <c r="M81" s="43"/>
      <c r="N81" s="94"/>
      <c r="O81" s="92" t="s">
        <v>30</v>
      </c>
      <c r="P81" s="95"/>
      <c r="Q81" s="90" t="b">
        <f t="shared" si="11"/>
        <v>1</v>
      </c>
      <c r="R81" s="90" t="str">
        <f t="shared" si="12"/>
        <v>DRAW</v>
      </c>
      <c r="S81" s="90">
        <f t="shared" si="13"/>
        <v>1</v>
      </c>
      <c r="T81" s="2"/>
      <c r="U81" s="94"/>
      <c r="V81" s="92" t="s">
        <v>30</v>
      </c>
      <c r="W81" s="95"/>
      <c r="X81" s="90" t="b">
        <f t="shared" si="14"/>
        <v>1</v>
      </c>
      <c r="Y81" s="90" t="str">
        <f t="shared" si="15"/>
        <v>DRAW</v>
      </c>
      <c r="Z81" s="90">
        <f t="shared" si="16"/>
        <v>1</v>
      </c>
      <c r="AA81" s="2"/>
      <c r="AB81" s="94"/>
      <c r="AC81" s="92" t="s">
        <v>30</v>
      </c>
      <c r="AD81" s="95"/>
      <c r="AE81" s="90" t="b">
        <f t="shared" si="17"/>
        <v>1</v>
      </c>
      <c r="AF81" s="90" t="str">
        <f t="shared" si="18"/>
        <v>DRAW</v>
      </c>
      <c r="AG81" s="90">
        <f t="shared" si="19"/>
        <v>1</v>
      </c>
      <c r="AH81" s="45"/>
    </row>
    <row r="82" spans="1:34" x14ac:dyDescent="0.3">
      <c r="A82" s="35"/>
      <c r="B82" s="36"/>
      <c r="C82" s="111"/>
      <c r="D82" s="116"/>
      <c r="E82" s="117"/>
      <c r="F82" s="118" t="s">
        <v>30</v>
      </c>
      <c r="G82" s="119"/>
      <c r="H82" s="2"/>
      <c r="I82" s="47"/>
      <c r="J82" s="88" t="s">
        <v>30</v>
      </c>
      <c r="K82" s="89"/>
      <c r="L82" s="37" t="str">
        <f t="shared" si="10"/>
        <v>DRAW</v>
      </c>
      <c r="M82" s="43"/>
      <c r="N82" s="47"/>
      <c r="O82" s="88" t="s">
        <v>30</v>
      </c>
      <c r="P82" s="89"/>
      <c r="Q82" s="37" t="b">
        <f t="shared" si="11"/>
        <v>1</v>
      </c>
      <c r="R82" s="37" t="str">
        <f t="shared" si="12"/>
        <v>DRAW</v>
      </c>
      <c r="S82" s="37">
        <f t="shared" si="13"/>
        <v>1</v>
      </c>
      <c r="T82" s="2"/>
      <c r="U82" s="47"/>
      <c r="V82" s="88" t="s">
        <v>30</v>
      </c>
      <c r="W82" s="89"/>
      <c r="X82" s="37" t="b">
        <f t="shared" si="14"/>
        <v>1</v>
      </c>
      <c r="Y82" s="37" t="str">
        <f t="shared" si="15"/>
        <v>DRAW</v>
      </c>
      <c r="Z82" s="37">
        <f t="shared" si="16"/>
        <v>1</v>
      </c>
      <c r="AA82" s="2"/>
      <c r="AB82" s="47"/>
      <c r="AC82" s="88" t="s">
        <v>30</v>
      </c>
      <c r="AD82" s="89"/>
      <c r="AE82" s="37" t="b">
        <f t="shared" si="17"/>
        <v>1</v>
      </c>
      <c r="AF82" s="37" t="str">
        <f t="shared" si="18"/>
        <v>DRAW</v>
      </c>
      <c r="AG82" s="37">
        <f t="shared" si="19"/>
        <v>1</v>
      </c>
      <c r="AH82" s="45"/>
    </row>
    <row r="83" spans="1:34" x14ac:dyDescent="0.3">
      <c r="A83" s="120">
        <v>46202</v>
      </c>
      <c r="B83" s="121">
        <v>0.97916666666666663</v>
      </c>
      <c r="C83" s="111"/>
      <c r="D83" s="96" t="s">
        <v>101</v>
      </c>
      <c r="E83" s="97"/>
      <c r="F83" s="98" t="s">
        <v>30</v>
      </c>
      <c r="G83" s="52"/>
      <c r="H83" s="2"/>
      <c r="I83" s="51"/>
      <c r="J83" s="98" t="s">
        <v>30</v>
      </c>
      <c r="K83" s="99"/>
      <c r="L83" s="96" t="str">
        <f t="shared" si="10"/>
        <v>DRAW</v>
      </c>
      <c r="M83" s="43"/>
      <c r="N83" s="51"/>
      <c r="O83" s="98" t="s">
        <v>30</v>
      </c>
      <c r="P83" s="99"/>
      <c r="Q83" s="96" t="b">
        <f t="shared" si="11"/>
        <v>1</v>
      </c>
      <c r="R83" s="96" t="str">
        <f t="shared" si="12"/>
        <v>DRAW</v>
      </c>
      <c r="S83" s="96">
        <f t="shared" si="13"/>
        <v>1</v>
      </c>
      <c r="T83" s="2"/>
      <c r="U83" s="51"/>
      <c r="V83" s="98" t="s">
        <v>30</v>
      </c>
      <c r="W83" s="99"/>
      <c r="X83" s="96" t="b">
        <f t="shared" si="14"/>
        <v>1</v>
      </c>
      <c r="Y83" s="96" t="str">
        <f t="shared" si="15"/>
        <v>DRAW</v>
      </c>
      <c r="Z83" s="96">
        <f t="shared" si="16"/>
        <v>1</v>
      </c>
      <c r="AA83" s="2"/>
      <c r="AB83" s="51"/>
      <c r="AC83" s="98" t="s">
        <v>30</v>
      </c>
      <c r="AD83" s="99"/>
      <c r="AE83" s="96" t="b">
        <f t="shared" si="17"/>
        <v>1</v>
      </c>
      <c r="AF83" s="96" t="str">
        <f t="shared" si="18"/>
        <v>DRAW</v>
      </c>
      <c r="AG83" s="96">
        <f t="shared" si="19"/>
        <v>1</v>
      </c>
      <c r="AH83" s="45"/>
    </row>
    <row r="84" spans="1:34" x14ac:dyDescent="0.3">
      <c r="A84" s="109"/>
      <c r="B84" s="110"/>
      <c r="C84" s="111"/>
      <c r="D84" s="112"/>
      <c r="E84" s="113"/>
      <c r="F84" s="114" t="s">
        <v>30</v>
      </c>
      <c r="G84" s="115"/>
      <c r="H84" s="2"/>
      <c r="I84" s="94"/>
      <c r="J84" s="92" t="s">
        <v>30</v>
      </c>
      <c r="K84" s="95"/>
      <c r="L84" s="90" t="str">
        <f t="shared" si="10"/>
        <v>DRAW</v>
      </c>
      <c r="M84" s="43"/>
      <c r="N84" s="94"/>
      <c r="O84" s="92" t="s">
        <v>30</v>
      </c>
      <c r="P84" s="95"/>
      <c r="Q84" s="90" t="b">
        <f t="shared" si="11"/>
        <v>1</v>
      </c>
      <c r="R84" s="90" t="str">
        <f t="shared" si="12"/>
        <v>DRAW</v>
      </c>
      <c r="S84" s="90">
        <f t="shared" si="13"/>
        <v>1</v>
      </c>
      <c r="T84" s="2"/>
      <c r="U84" s="94"/>
      <c r="V84" s="92" t="s">
        <v>30</v>
      </c>
      <c r="W84" s="95"/>
      <c r="X84" s="90" t="b">
        <f t="shared" si="14"/>
        <v>1</v>
      </c>
      <c r="Y84" s="90" t="str">
        <f t="shared" si="15"/>
        <v>DRAW</v>
      </c>
      <c r="Z84" s="90">
        <f t="shared" si="16"/>
        <v>1</v>
      </c>
      <c r="AA84" s="2"/>
      <c r="AB84" s="94"/>
      <c r="AC84" s="92" t="s">
        <v>30</v>
      </c>
      <c r="AD84" s="95"/>
      <c r="AE84" s="90" t="b">
        <f t="shared" si="17"/>
        <v>1</v>
      </c>
      <c r="AF84" s="90" t="str">
        <f t="shared" si="18"/>
        <v>DRAW</v>
      </c>
      <c r="AG84" s="90">
        <f t="shared" si="19"/>
        <v>1</v>
      </c>
      <c r="AH84" s="45"/>
    </row>
    <row r="85" spans="1:34" x14ac:dyDescent="0.3">
      <c r="A85" s="35"/>
      <c r="B85" s="36"/>
      <c r="C85" s="111"/>
      <c r="D85" s="116"/>
      <c r="E85" s="117"/>
      <c r="F85" s="118" t="s">
        <v>30</v>
      </c>
      <c r="G85" s="119"/>
      <c r="H85" s="2"/>
      <c r="I85" s="47"/>
      <c r="J85" s="88" t="s">
        <v>30</v>
      </c>
      <c r="K85" s="89"/>
      <c r="L85" s="37" t="str">
        <f t="shared" si="10"/>
        <v>DRAW</v>
      </c>
      <c r="M85" s="43"/>
      <c r="N85" s="47"/>
      <c r="O85" s="88" t="s">
        <v>30</v>
      </c>
      <c r="P85" s="89"/>
      <c r="Q85" s="37" t="b">
        <f t="shared" si="11"/>
        <v>1</v>
      </c>
      <c r="R85" s="37" t="str">
        <f t="shared" si="12"/>
        <v>DRAW</v>
      </c>
      <c r="S85" s="37">
        <f t="shared" si="13"/>
        <v>1</v>
      </c>
      <c r="T85" s="2"/>
      <c r="U85" s="47"/>
      <c r="V85" s="88" t="s">
        <v>30</v>
      </c>
      <c r="W85" s="89"/>
      <c r="X85" s="37" t="b">
        <f t="shared" si="14"/>
        <v>1</v>
      </c>
      <c r="Y85" s="37" t="str">
        <f t="shared" si="15"/>
        <v>DRAW</v>
      </c>
      <c r="Z85" s="37">
        <f t="shared" si="16"/>
        <v>1</v>
      </c>
      <c r="AA85" s="2"/>
      <c r="AB85" s="47"/>
      <c r="AC85" s="88" t="s">
        <v>30</v>
      </c>
      <c r="AD85" s="89"/>
      <c r="AE85" s="37" t="b">
        <f t="shared" si="17"/>
        <v>1</v>
      </c>
      <c r="AF85" s="37" t="str">
        <f t="shared" si="18"/>
        <v>DRAW</v>
      </c>
      <c r="AG85" s="37">
        <f t="shared" si="19"/>
        <v>1</v>
      </c>
      <c r="AH85" s="45"/>
    </row>
    <row r="86" spans="1:34" x14ac:dyDescent="0.3">
      <c r="A86" s="120">
        <v>46203</v>
      </c>
      <c r="B86" s="121">
        <v>0.16666666666666666</v>
      </c>
      <c r="C86" s="111"/>
      <c r="D86" s="96" t="s">
        <v>101</v>
      </c>
      <c r="E86" s="97"/>
      <c r="F86" s="98" t="s">
        <v>30</v>
      </c>
      <c r="G86" s="52"/>
      <c r="H86" s="2"/>
      <c r="I86" s="51"/>
      <c r="J86" s="98" t="s">
        <v>30</v>
      </c>
      <c r="K86" s="99"/>
      <c r="L86" s="96" t="str">
        <f t="shared" si="10"/>
        <v>DRAW</v>
      </c>
      <c r="M86" s="43"/>
      <c r="N86" s="51"/>
      <c r="O86" s="98" t="s">
        <v>30</v>
      </c>
      <c r="P86" s="99"/>
      <c r="Q86" s="96" t="b">
        <f t="shared" si="11"/>
        <v>1</v>
      </c>
      <c r="R86" s="96" t="str">
        <f t="shared" si="12"/>
        <v>DRAW</v>
      </c>
      <c r="S86" s="96">
        <f t="shared" si="13"/>
        <v>1</v>
      </c>
      <c r="T86" s="2"/>
      <c r="U86" s="51"/>
      <c r="V86" s="98" t="s">
        <v>30</v>
      </c>
      <c r="W86" s="99"/>
      <c r="X86" s="96" t="b">
        <f t="shared" si="14"/>
        <v>1</v>
      </c>
      <c r="Y86" s="96" t="str">
        <f t="shared" si="15"/>
        <v>DRAW</v>
      </c>
      <c r="Z86" s="96">
        <f t="shared" si="16"/>
        <v>1</v>
      </c>
      <c r="AA86" s="2"/>
      <c r="AB86" s="51"/>
      <c r="AC86" s="98" t="s">
        <v>30</v>
      </c>
      <c r="AD86" s="99"/>
      <c r="AE86" s="96" t="b">
        <f t="shared" si="17"/>
        <v>1</v>
      </c>
      <c r="AF86" s="96" t="str">
        <f t="shared" si="18"/>
        <v>DRAW</v>
      </c>
      <c r="AG86" s="96">
        <f t="shared" si="19"/>
        <v>1</v>
      </c>
      <c r="AH86" s="45"/>
    </row>
    <row r="87" spans="1:34" x14ac:dyDescent="0.3">
      <c r="A87" s="109"/>
      <c r="B87" s="110"/>
      <c r="C87" s="111"/>
      <c r="D87" s="112"/>
      <c r="E87" s="113"/>
      <c r="F87" s="114" t="s">
        <v>30</v>
      </c>
      <c r="G87" s="115"/>
      <c r="H87" s="2"/>
      <c r="I87" s="94"/>
      <c r="J87" s="92" t="s">
        <v>30</v>
      </c>
      <c r="K87" s="95"/>
      <c r="L87" s="90" t="str">
        <f t="shared" si="10"/>
        <v>DRAW</v>
      </c>
      <c r="M87" s="43"/>
      <c r="N87" s="94"/>
      <c r="O87" s="92" t="s">
        <v>30</v>
      </c>
      <c r="P87" s="95"/>
      <c r="Q87" s="90" t="b">
        <f t="shared" si="11"/>
        <v>1</v>
      </c>
      <c r="R87" s="90" t="str">
        <f t="shared" si="12"/>
        <v>DRAW</v>
      </c>
      <c r="S87" s="90">
        <f t="shared" si="13"/>
        <v>1</v>
      </c>
      <c r="T87" s="2"/>
      <c r="U87" s="94"/>
      <c r="V87" s="92" t="s">
        <v>30</v>
      </c>
      <c r="W87" s="95"/>
      <c r="X87" s="90" t="b">
        <f t="shared" si="14"/>
        <v>1</v>
      </c>
      <c r="Y87" s="90" t="str">
        <f t="shared" si="15"/>
        <v>DRAW</v>
      </c>
      <c r="Z87" s="90">
        <f t="shared" si="16"/>
        <v>1</v>
      </c>
      <c r="AA87" s="2"/>
      <c r="AB87" s="94"/>
      <c r="AC87" s="92" t="s">
        <v>30</v>
      </c>
      <c r="AD87" s="95"/>
      <c r="AE87" s="90" t="b">
        <f t="shared" si="17"/>
        <v>1</v>
      </c>
      <c r="AF87" s="90" t="str">
        <f t="shared" si="18"/>
        <v>DRAW</v>
      </c>
      <c r="AG87" s="90">
        <f t="shared" si="19"/>
        <v>1</v>
      </c>
      <c r="AH87" s="45"/>
    </row>
    <row r="88" spans="1:34" x14ac:dyDescent="0.3">
      <c r="A88" s="35"/>
      <c r="B88" s="36"/>
      <c r="C88" s="111"/>
      <c r="D88" s="116"/>
      <c r="E88" s="117"/>
      <c r="F88" s="118" t="s">
        <v>30</v>
      </c>
      <c r="G88" s="119"/>
      <c r="H88" s="2"/>
      <c r="I88" s="47"/>
      <c r="J88" s="88" t="s">
        <v>30</v>
      </c>
      <c r="K88" s="89"/>
      <c r="L88" s="37" t="str">
        <f t="shared" si="10"/>
        <v>DRAW</v>
      </c>
      <c r="M88" s="43"/>
      <c r="N88" s="47"/>
      <c r="O88" s="88" t="s">
        <v>30</v>
      </c>
      <c r="P88" s="89"/>
      <c r="Q88" s="37" t="b">
        <f t="shared" si="11"/>
        <v>1</v>
      </c>
      <c r="R88" s="37" t="str">
        <f t="shared" si="12"/>
        <v>DRAW</v>
      </c>
      <c r="S88" s="37">
        <f t="shared" si="13"/>
        <v>1</v>
      </c>
      <c r="T88" s="2"/>
      <c r="U88" s="47"/>
      <c r="V88" s="88" t="s">
        <v>30</v>
      </c>
      <c r="W88" s="89"/>
      <c r="X88" s="37" t="b">
        <f t="shared" si="14"/>
        <v>1</v>
      </c>
      <c r="Y88" s="37" t="str">
        <f t="shared" si="15"/>
        <v>DRAW</v>
      </c>
      <c r="Z88" s="37">
        <f t="shared" si="16"/>
        <v>1</v>
      </c>
      <c r="AA88" s="2"/>
      <c r="AB88" s="47"/>
      <c r="AC88" s="88" t="s">
        <v>30</v>
      </c>
      <c r="AD88" s="89"/>
      <c r="AE88" s="37" t="b">
        <f t="shared" si="17"/>
        <v>1</v>
      </c>
      <c r="AF88" s="37" t="str">
        <f t="shared" si="18"/>
        <v>DRAW</v>
      </c>
      <c r="AG88" s="37">
        <f t="shared" si="19"/>
        <v>1</v>
      </c>
      <c r="AH88" s="45"/>
    </row>
    <row r="89" spans="1:34" x14ac:dyDescent="0.3">
      <c r="A89" s="120">
        <v>46203</v>
      </c>
      <c r="B89" s="121">
        <v>0.83333333333333337</v>
      </c>
      <c r="C89" s="111"/>
      <c r="D89" s="96" t="s">
        <v>101</v>
      </c>
      <c r="E89" s="97"/>
      <c r="F89" s="98" t="s">
        <v>30</v>
      </c>
      <c r="G89" s="52"/>
      <c r="H89" s="2"/>
      <c r="I89" s="51"/>
      <c r="J89" s="98" t="s">
        <v>30</v>
      </c>
      <c r="K89" s="99"/>
      <c r="L89" s="96" t="str">
        <f t="shared" si="10"/>
        <v>DRAW</v>
      </c>
      <c r="M89" s="43"/>
      <c r="N89" s="51"/>
      <c r="O89" s="98" t="s">
        <v>30</v>
      </c>
      <c r="P89" s="99"/>
      <c r="Q89" s="96" t="b">
        <f t="shared" si="11"/>
        <v>1</v>
      </c>
      <c r="R89" s="96" t="str">
        <f t="shared" si="12"/>
        <v>DRAW</v>
      </c>
      <c r="S89" s="96">
        <f t="shared" si="13"/>
        <v>1</v>
      </c>
      <c r="T89" s="2"/>
      <c r="U89" s="51"/>
      <c r="V89" s="98" t="s">
        <v>30</v>
      </c>
      <c r="W89" s="99"/>
      <c r="X89" s="96" t="b">
        <f t="shared" si="14"/>
        <v>1</v>
      </c>
      <c r="Y89" s="96" t="str">
        <f t="shared" si="15"/>
        <v>DRAW</v>
      </c>
      <c r="Z89" s="96">
        <f t="shared" si="16"/>
        <v>1</v>
      </c>
      <c r="AA89" s="2"/>
      <c r="AB89" s="51"/>
      <c r="AC89" s="98" t="s">
        <v>30</v>
      </c>
      <c r="AD89" s="99"/>
      <c r="AE89" s="96" t="b">
        <f t="shared" si="17"/>
        <v>1</v>
      </c>
      <c r="AF89" s="96" t="str">
        <f t="shared" si="18"/>
        <v>DRAW</v>
      </c>
      <c r="AG89" s="96">
        <f t="shared" si="19"/>
        <v>1</v>
      </c>
      <c r="AH89" s="45"/>
    </row>
    <row r="90" spans="1:34" x14ac:dyDescent="0.3">
      <c r="A90" s="109"/>
      <c r="B90" s="110"/>
      <c r="C90" s="111"/>
      <c r="D90" s="112"/>
      <c r="E90" s="113"/>
      <c r="F90" s="114" t="s">
        <v>30</v>
      </c>
      <c r="G90" s="115"/>
      <c r="H90" s="2"/>
      <c r="I90" s="94"/>
      <c r="J90" s="92" t="s">
        <v>30</v>
      </c>
      <c r="K90" s="95"/>
      <c r="L90" s="90" t="str">
        <f t="shared" si="10"/>
        <v>DRAW</v>
      </c>
      <c r="M90" s="43"/>
      <c r="N90" s="94"/>
      <c r="O90" s="92" t="s">
        <v>30</v>
      </c>
      <c r="P90" s="95"/>
      <c r="Q90" s="90" t="b">
        <f t="shared" si="11"/>
        <v>1</v>
      </c>
      <c r="R90" s="90" t="str">
        <f t="shared" si="12"/>
        <v>DRAW</v>
      </c>
      <c r="S90" s="90">
        <f t="shared" si="13"/>
        <v>1</v>
      </c>
      <c r="T90" s="2"/>
      <c r="U90" s="94"/>
      <c r="V90" s="92" t="s">
        <v>30</v>
      </c>
      <c r="W90" s="95"/>
      <c r="X90" s="90" t="b">
        <f t="shared" si="14"/>
        <v>1</v>
      </c>
      <c r="Y90" s="90" t="str">
        <f t="shared" si="15"/>
        <v>DRAW</v>
      </c>
      <c r="Z90" s="90">
        <f t="shared" si="16"/>
        <v>1</v>
      </c>
      <c r="AA90" s="2"/>
      <c r="AB90" s="94"/>
      <c r="AC90" s="92" t="s">
        <v>30</v>
      </c>
      <c r="AD90" s="95"/>
      <c r="AE90" s="90" t="b">
        <f t="shared" si="17"/>
        <v>1</v>
      </c>
      <c r="AF90" s="90" t="str">
        <f t="shared" si="18"/>
        <v>DRAW</v>
      </c>
      <c r="AG90" s="90">
        <f t="shared" si="19"/>
        <v>1</v>
      </c>
      <c r="AH90" s="45"/>
    </row>
    <row r="91" spans="1:34" x14ac:dyDescent="0.3">
      <c r="A91" s="35"/>
      <c r="B91" s="36"/>
      <c r="C91" s="111"/>
      <c r="D91" s="116"/>
      <c r="E91" s="117"/>
      <c r="F91" s="118" t="s">
        <v>30</v>
      </c>
      <c r="G91" s="119"/>
      <c r="H91" s="2"/>
      <c r="I91" s="47"/>
      <c r="J91" s="88" t="s">
        <v>30</v>
      </c>
      <c r="K91" s="89"/>
      <c r="L91" s="37" t="str">
        <f t="shared" si="10"/>
        <v>DRAW</v>
      </c>
      <c r="M91" s="43"/>
      <c r="N91" s="47"/>
      <c r="O91" s="88" t="s">
        <v>30</v>
      </c>
      <c r="P91" s="89"/>
      <c r="Q91" s="37" t="b">
        <f t="shared" si="11"/>
        <v>1</v>
      </c>
      <c r="R91" s="37" t="str">
        <f t="shared" si="12"/>
        <v>DRAW</v>
      </c>
      <c r="S91" s="37">
        <f t="shared" si="13"/>
        <v>1</v>
      </c>
      <c r="T91" s="2"/>
      <c r="U91" s="47"/>
      <c r="V91" s="88" t="s">
        <v>30</v>
      </c>
      <c r="W91" s="89"/>
      <c r="X91" s="37" t="b">
        <f t="shared" si="14"/>
        <v>1</v>
      </c>
      <c r="Y91" s="37" t="str">
        <f t="shared" si="15"/>
        <v>DRAW</v>
      </c>
      <c r="Z91" s="37">
        <f t="shared" si="16"/>
        <v>1</v>
      </c>
      <c r="AA91" s="2"/>
      <c r="AB91" s="47"/>
      <c r="AC91" s="88" t="s">
        <v>30</v>
      </c>
      <c r="AD91" s="89"/>
      <c r="AE91" s="37" t="b">
        <f t="shared" si="17"/>
        <v>1</v>
      </c>
      <c r="AF91" s="37" t="str">
        <f t="shared" si="18"/>
        <v>DRAW</v>
      </c>
      <c r="AG91" s="37">
        <f t="shared" si="19"/>
        <v>1</v>
      </c>
      <c r="AH91" s="45"/>
    </row>
    <row r="92" spans="1:34" x14ac:dyDescent="0.3">
      <c r="A92" s="120">
        <v>46204</v>
      </c>
      <c r="B92" s="121">
        <v>0</v>
      </c>
      <c r="C92" s="111"/>
      <c r="D92" s="96" t="s">
        <v>101</v>
      </c>
      <c r="E92" s="97"/>
      <c r="F92" s="98" t="s">
        <v>30</v>
      </c>
      <c r="G92" s="52"/>
      <c r="H92" s="2"/>
      <c r="I92" s="51"/>
      <c r="J92" s="98" t="s">
        <v>30</v>
      </c>
      <c r="K92" s="99"/>
      <c r="L92" s="96" t="str">
        <f t="shared" si="10"/>
        <v>DRAW</v>
      </c>
      <c r="M92" s="43"/>
      <c r="N92" s="51"/>
      <c r="O92" s="98" t="s">
        <v>30</v>
      </c>
      <c r="P92" s="99"/>
      <c r="Q92" s="96" t="b">
        <f t="shared" si="11"/>
        <v>1</v>
      </c>
      <c r="R92" s="96" t="str">
        <f t="shared" si="12"/>
        <v>DRAW</v>
      </c>
      <c r="S92" s="96">
        <f t="shared" si="13"/>
        <v>1</v>
      </c>
      <c r="T92" s="2"/>
      <c r="U92" s="51"/>
      <c r="V92" s="98" t="s">
        <v>30</v>
      </c>
      <c r="W92" s="99"/>
      <c r="X92" s="96" t="b">
        <f t="shared" si="14"/>
        <v>1</v>
      </c>
      <c r="Y92" s="96" t="str">
        <f t="shared" si="15"/>
        <v>DRAW</v>
      </c>
      <c r="Z92" s="96">
        <f t="shared" si="16"/>
        <v>1</v>
      </c>
      <c r="AA92" s="2"/>
      <c r="AB92" s="51"/>
      <c r="AC92" s="98" t="s">
        <v>30</v>
      </c>
      <c r="AD92" s="99"/>
      <c r="AE92" s="96" t="b">
        <f t="shared" si="17"/>
        <v>1</v>
      </c>
      <c r="AF92" s="96" t="str">
        <f t="shared" si="18"/>
        <v>DRAW</v>
      </c>
      <c r="AG92" s="96">
        <f t="shared" si="19"/>
        <v>1</v>
      </c>
      <c r="AH92" s="45"/>
    </row>
    <row r="93" spans="1:34" x14ac:dyDescent="0.3">
      <c r="A93" s="109"/>
      <c r="B93" s="110"/>
      <c r="C93" s="111"/>
      <c r="D93" s="112"/>
      <c r="E93" s="113"/>
      <c r="F93" s="114" t="s">
        <v>30</v>
      </c>
      <c r="G93" s="115"/>
      <c r="H93" s="2"/>
      <c r="I93" s="94"/>
      <c r="J93" s="92" t="s">
        <v>30</v>
      </c>
      <c r="K93" s="95"/>
      <c r="L93" s="90" t="str">
        <f t="shared" si="10"/>
        <v>DRAW</v>
      </c>
      <c r="M93" s="43"/>
      <c r="N93" s="94"/>
      <c r="O93" s="92" t="s">
        <v>30</v>
      </c>
      <c r="P93" s="95"/>
      <c r="Q93" s="90" t="b">
        <f t="shared" si="11"/>
        <v>1</v>
      </c>
      <c r="R93" s="90" t="str">
        <f t="shared" si="12"/>
        <v>DRAW</v>
      </c>
      <c r="S93" s="90">
        <f t="shared" si="13"/>
        <v>1</v>
      </c>
      <c r="T93" s="2"/>
      <c r="U93" s="94"/>
      <c r="V93" s="92" t="s">
        <v>30</v>
      </c>
      <c r="W93" s="95"/>
      <c r="X93" s="90" t="b">
        <f t="shared" si="14"/>
        <v>1</v>
      </c>
      <c r="Y93" s="90" t="str">
        <f t="shared" si="15"/>
        <v>DRAW</v>
      </c>
      <c r="Z93" s="90">
        <f t="shared" si="16"/>
        <v>1</v>
      </c>
      <c r="AA93" s="2"/>
      <c r="AB93" s="94"/>
      <c r="AC93" s="92" t="s">
        <v>30</v>
      </c>
      <c r="AD93" s="95"/>
      <c r="AE93" s="90" t="b">
        <f t="shared" si="17"/>
        <v>1</v>
      </c>
      <c r="AF93" s="90" t="str">
        <f t="shared" si="18"/>
        <v>DRAW</v>
      </c>
      <c r="AG93" s="90">
        <f t="shared" si="19"/>
        <v>1</v>
      </c>
      <c r="AH93" s="45"/>
    </row>
    <row r="94" spans="1:34" x14ac:dyDescent="0.3">
      <c r="A94" s="35"/>
      <c r="B94" s="36"/>
      <c r="C94" s="111"/>
      <c r="D94" s="116"/>
      <c r="E94" s="117"/>
      <c r="F94" s="118" t="s">
        <v>30</v>
      </c>
      <c r="G94" s="119"/>
      <c r="H94" s="2"/>
      <c r="I94" s="47"/>
      <c r="J94" s="88" t="s">
        <v>30</v>
      </c>
      <c r="K94" s="89"/>
      <c r="L94" s="37" t="str">
        <f t="shared" si="10"/>
        <v>DRAW</v>
      </c>
      <c r="M94" s="43"/>
      <c r="N94" s="47"/>
      <c r="O94" s="88" t="s">
        <v>30</v>
      </c>
      <c r="P94" s="89"/>
      <c r="Q94" s="37" t="b">
        <f t="shared" si="11"/>
        <v>1</v>
      </c>
      <c r="R94" s="37" t="str">
        <f t="shared" si="12"/>
        <v>DRAW</v>
      </c>
      <c r="S94" s="37">
        <f t="shared" si="13"/>
        <v>1</v>
      </c>
      <c r="T94" s="2"/>
      <c r="U94" s="47"/>
      <c r="V94" s="88" t="s">
        <v>30</v>
      </c>
      <c r="W94" s="89"/>
      <c r="X94" s="37" t="b">
        <f t="shared" si="14"/>
        <v>1</v>
      </c>
      <c r="Y94" s="37" t="str">
        <f t="shared" si="15"/>
        <v>DRAW</v>
      </c>
      <c r="Z94" s="37">
        <f t="shared" si="16"/>
        <v>1</v>
      </c>
      <c r="AA94" s="2"/>
      <c r="AB94" s="47"/>
      <c r="AC94" s="88" t="s">
        <v>30</v>
      </c>
      <c r="AD94" s="89"/>
      <c r="AE94" s="37" t="b">
        <f t="shared" si="17"/>
        <v>1</v>
      </c>
      <c r="AF94" s="37" t="str">
        <f t="shared" si="18"/>
        <v>DRAW</v>
      </c>
      <c r="AG94" s="37">
        <f t="shared" si="19"/>
        <v>1</v>
      </c>
      <c r="AH94" s="45"/>
    </row>
    <row r="95" spans="1:34" x14ac:dyDescent="0.3">
      <c r="A95" s="120">
        <v>46204</v>
      </c>
      <c r="B95" s="121">
        <v>0.16666666666666666</v>
      </c>
      <c r="C95" s="111"/>
      <c r="D95" s="96" t="s">
        <v>101</v>
      </c>
      <c r="E95" s="97"/>
      <c r="F95" s="98" t="s">
        <v>30</v>
      </c>
      <c r="G95" s="52"/>
      <c r="H95" s="2"/>
      <c r="I95" s="51"/>
      <c r="J95" s="98" t="s">
        <v>30</v>
      </c>
      <c r="K95" s="99"/>
      <c r="L95" s="96" t="str">
        <f t="shared" si="10"/>
        <v>DRAW</v>
      </c>
      <c r="M95" s="43"/>
      <c r="N95" s="51"/>
      <c r="O95" s="98" t="s">
        <v>30</v>
      </c>
      <c r="P95" s="99"/>
      <c r="Q95" s="96" t="b">
        <f t="shared" si="11"/>
        <v>1</v>
      </c>
      <c r="R95" s="96" t="str">
        <f t="shared" si="12"/>
        <v>DRAW</v>
      </c>
      <c r="S95" s="96">
        <f t="shared" si="13"/>
        <v>1</v>
      </c>
      <c r="T95" s="2"/>
      <c r="U95" s="51"/>
      <c r="V95" s="98" t="s">
        <v>30</v>
      </c>
      <c r="W95" s="99"/>
      <c r="X95" s="96" t="b">
        <f t="shared" si="14"/>
        <v>1</v>
      </c>
      <c r="Y95" s="96" t="str">
        <f t="shared" si="15"/>
        <v>DRAW</v>
      </c>
      <c r="Z95" s="96">
        <f t="shared" si="16"/>
        <v>1</v>
      </c>
      <c r="AA95" s="2"/>
      <c r="AB95" s="51"/>
      <c r="AC95" s="98" t="s">
        <v>30</v>
      </c>
      <c r="AD95" s="99"/>
      <c r="AE95" s="96" t="b">
        <f t="shared" si="17"/>
        <v>1</v>
      </c>
      <c r="AF95" s="96" t="str">
        <f t="shared" si="18"/>
        <v>DRAW</v>
      </c>
      <c r="AG95" s="96">
        <f t="shared" si="19"/>
        <v>1</v>
      </c>
      <c r="AH95" s="45"/>
    </row>
    <row r="96" spans="1:34" x14ac:dyDescent="0.3">
      <c r="A96" s="109"/>
      <c r="B96" s="110"/>
      <c r="C96" s="111"/>
      <c r="D96" s="112"/>
      <c r="E96" s="113"/>
      <c r="F96" s="114" t="s">
        <v>30</v>
      </c>
      <c r="G96" s="115"/>
      <c r="H96" s="2"/>
      <c r="I96" s="94"/>
      <c r="J96" s="92" t="s">
        <v>30</v>
      </c>
      <c r="K96" s="95"/>
      <c r="L96" s="90" t="str">
        <f t="shared" si="10"/>
        <v>DRAW</v>
      </c>
      <c r="M96" s="43"/>
      <c r="N96" s="94"/>
      <c r="O96" s="92" t="s">
        <v>30</v>
      </c>
      <c r="P96" s="95"/>
      <c r="Q96" s="90" t="b">
        <f t="shared" si="11"/>
        <v>1</v>
      </c>
      <c r="R96" s="90" t="str">
        <f t="shared" si="12"/>
        <v>DRAW</v>
      </c>
      <c r="S96" s="90">
        <f t="shared" si="13"/>
        <v>1</v>
      </c>
      <c r="T96" s="2"/>
      <c r="U96" s="94"/>
      <c r="V96" s="92" t="s">
        <v>30</v>
      </c>
      <c r="W96" s="95"/>
      <c r="X96" s="90" t="b">
        <f t="shared" si="14"/>
        <v>1</v>
      </c>
      <c r="Y96" s="90" t="str">
        <f t="shared" si="15"/>
        <v>DRAW</v>
      </c>
      <c r="Z96" s="90">
        <f t="shared" si="16"/>
        <v>1</v>
      </c>
      <c r="AA96" s="2"/>
      <c r="AB96" s="94"/>
      <c r="AC96" s="92" t="s">
        <v>30</v>
      </c>
      <c r="AD96" s="95"/>
      <c r="AE96" s="90" t="b">
        <f t="shared" si="17"/>
        <v>1</v>
      </c>
      <c r="AF96" s="90" t="str">
        <f t="shared" si="18"/>
        <v>DRAW</v>
      </c>
      <c r="AG96" s="90">
        <f t="shared" si="19"/>
        <v>1</v>
      </c>
      <c r="AH96" s="45"/>
    </row>
    <row r="97" spans="1:34" x14ac:dyDescent="0.3">
      <c r="A97" s="35"/>
      <c r="B97" s="36"/>
      <c r="C97" s="111"/>
      <c r="D97" s="116"/>
      <c r="E97" s="117"/>
      <c r="F97" s="118" t="s">
        <v>30</v>
      </c>
      <c r="G97" s="119"/>
      <c r="H97" s="2"/>
      <c r="I97" s="47"/>
      <c r="J97" s="88" t="s">
        <v>30</v>
      </c>
      <c r="K97" s="89"/>
      <c r="L97" s="37" t="str">
        <f t="shared" si="10"/>
        <v>DRAW</v>
      </c>
      <c r="M97" s="43"/>
      <c r="N97" s="47"/>
      <c r="O97" s="88" t="s">
        <v>30</v>
      </c>
      <c r="P97" s="89"/>
      <c r="Q97" s="37" t="b">
        <f t="shared" si="11"/>
        <v>1</v>
      </c>
      <c r="R97" s="37" t="str">
        <f t="shared" si="12"/>
        <v>DRAW</v>
      </c>
      <c r="S97" s="37">
        <f t="shared" si="13"/>
        <v>1</v>
      </c>
      <c r="T97" s="2"/>
      <c r="U97" s="47"/>
      <c r="V97" s="88" t="s">
        <v>30</v>
      </c>
      <c r="W97" s="89"/>
      <c r="X97" s="37" t="b">
        <f t="shared" si="14"/>
        <v>1</v>
      </c>
      <c r="Y97" s="37" t="str">
        <f t="shared" si="15"/>
        <v>DRAW</v>
      </c>
      <c r="Z97" s="37">
        <f t="shared" si="16"/>
        <v>1</v>
      </c>
      <c r="AA97" s="2"/>
      <c r="AB97" s="47"/>
      <c r="AC97" s="88" t="s">
        <v>30</v>
      </c>
      <c r="AD97" s="89"/>
      <c r="AE97" s="37" t="b">
        <f t="shared" si="17"/>
        <v>1</v>
      </c>
      <c r="AF97" s="37" t="str">
        <f t="shared" si="18"/>
        <v>DRAW</v>
      </c>
      <c r="AG97" s="37">
        <f t="shared" si="19"/>
        <v>1</v>
      </c>
      <c r="AH97" s="45"/>
    </row>
    <row r="98" spans="1:34" x14ac:dyDescent="0.3">
      <c r="A98" s="120">
        <v>46204</v>
      </c>
      <c r="B98" s="121">
        <v>0.79166666666666663</v>
      </c>
      <c r="C98" s="111"/>
      <c r="D98" s="96" t="s">
        <v>101</v>
      </c>
      <c r="E98" s="97"/>
      <c r="F98" s="98" t="s">
        <v>30</v>
      </c>
      <c r="G98" s="52"/>
      <c r="H98" s="2"/>
      <c r="I98" s="51"/>
      <c r="J98" s="98" t="s">
        <v>30</v>
      </c>
      <c r="K98" s="99"/>
      <c r="L98" s="96" t="str">
        <f t="shared" si="10"/>
        <v>DRAW</v>
      </c>
      <c r="M98" s="43"/>
      <c r="N98" s="51"/>
      <c r="O98" s="98" t="s">
        <v>30</v>
      </c>
      <c r="P98" s="99"/>
      <c r="Q98" s="96" t="b">
        <f t="shared" si="11"/>
        <v>1</v>
      </c>
      <c r="R98" s="96" t="str">
        <f t="shared" si="12"/>
        <v>DRAW</v>
      </c>
      <c r="S98" s="96">
        <f t="shared" si="13"/>
        <v>1</v>
      </c>
      <c r="T98" s="2"/>
      <c r="U98" s="51"/>
      <c r="V98" s="98" t="s">
        <v>30</v>
      </c>
      <c r="W98" s="99"/>
      <c r="X98" s="96" t="b">
        <f t="shared" si="14"/>
        <v>1</v>
      </c>
      <c r="Y98" s="96" t="str">
        <f t="shared" si="15"/>
        <v>DRAW</v>
      </c>
      <c r="Z98" s="96">
        <f t="shared" si="16"/>
        <v>1</v>
      </c>
      <c r="AA98" s="2"/>
      <c r="AB98" s="51"/>
      <c r="AC98" s="98" t="s">
        <v>30</v>
      </c>
      <c r="AD98" s="99"/>
      <c r="AE98" s="96" t="b">
        <f t="shared" si="17"/>
        <v>1</v>
      </c>
      <c r="AF98" s="96" t="str">
        <f t="shared" si="18"/>
        <v>DRAW</v>
      </c>
      <c r="AG98" s="96">
        <f t="shared" si="19"/>
        <v>1</v>
      </c>
      <c r="AH98" s="45"/>
    </row>
    <row r="99" spans="1:34" x14ac:dyDescent="0.3">
      <c r="A99" s="109"/>
      <c r="B99" s="110"/>
      <c r="C99" s="111"/>
      <c r="D99" s="112"/>
      <c r="E99" s="113"/>
      <c r="F99" s="114" t="s">
        <v>30</v>
      </c>
      <c r="G99" s="115"/>
      <c r="H99" s="2"/>
      <c r="I99" s="94"/>
      <c r="J99" s="92" t="s">
        <v>30</v>
      </c>
      <c r="K99" s="95"/>
      <c r="L99" s="90" t="str">
        <f t="shared" si="10"/>
        <v>DRAW</v>
      </c>
      <c r="M99" s="43"/>
      <c r="N99" s="94"/>
      <c r="O99" s="92" t="s">
        <v>30</v>
      </c>
      <c r="P99" s="95"/>
      <c r="Q99" s="90" t="b">
        <f t="shared" si="11"/>
        <v>1</v>
      </c>
      <c r="R99" s="90" t="str">
        <f t="shared" si="12"/>
        <v>DRAW</v>
      </c>
      <c r="S99" s="90">
        <f t="shared" si="13"/>
        <v>1</v>
      </c>
      <c r="T99" s="2"/>
      <c r="U99" s="94"/>
      <c r="V99" s="92" t="s">
        <v>30</v>
      </c>
      <c r="W99" s="95"/>
      <c r="X99" s="90" t="b">
        <f t="shared" si="14"/>
        <v>1</v>
      </c>
      <c r="Y99" s="90" t="str">
        <f t="shared" si="15"/>
        <v>DRAW</v>
      </c>
      <c r="Z99" s="90">
        <f t="shared" si="16"/>
        <v>1</v>
      </c>
      <c r="AA99" s="2"/>
      <c r="AB99" s="94"/>
      <c r="AC99" s="92" t="s">
        <v>30</v>
      </c>
      <c r="AD99" s="95"/>
      <c r="AE99" s="90" t="b">
        <f t="shared" si="17"/>
        <v>1</v>
      </c>
      <c r="AF99" s="90" t="str">
        <f t="shared" si="18"/>
        <v>DRAW</v>
      </c>
      <c r="AG99" s="90">
        <f t="shared" si="19"/>
        <v>1</v>
      </c>
      <c r="AH99" s="45"/>
    </row>
    <row r="100" spans="1:34" x14ac:dyDescent="0.3">
      <c r="A100" s="35"/>
      <c r="B100" s="36"/>
      <c r="C100" s="111"/>
      <c r="D100" s="116"/>
      <c r="E100" s="117"/>
      <c r="F100" s="118" t="s">
        <v>30</v>
      </c>
      <c r="G100" s="119"/>
      <c r="H100" s="2"/>
      <c r="I100" s="47"/>
      <c r="J100" s="88" t="s">
        <v>30</v>
      </c>
      <c r="K100" s="89"/>
      <c r="L100" s="37" t="str">
        <f t="shared" si="10"/>
        <v>DRAW</v>
      </c>
      <c r="M100" s="43"/>
      <c r="N100" s="47"/>
      <c r="O100" s="88" t="s">
        <v>30</v>
      </c>
      <c r="P100" s="89"/>
      <c r="Q100" s="37" t="b">
        <f t="shared" si="11"/>
        <v>1</v>
      </c>
      <c r="R100" s="37" t="str">
        <f t="shared" si="12"/>
        <v>DRAW</v>
      </c>
      <c r="S100" s="37">
        <f t="shared" si="13"/>
        <v>1</v>
      </c>
      <c r="T100" s="2"/>
      <c r="U100" s="47"/>
      <c r="V100" s="88" t="s">
        <v>30</v>
      </c>
      <c r="W100" s="89"/>
      <c r="X100" s="37" t="b">
        <f t="shared" si="14"/>
        <v>1</v>
      </c>
      <c r="Y100" s="37" t="str">
        <f t="shared" si="15"/>
        <v>DRAW</v>
      </c>
      <c r="Z100" s="37">
        <f t="shared" si="16"/>
        <v>1</v>
      </c>
      <c r="AA100" s="2"/>
      <c r="AB100" s="47"/>
      <c r="AC100" s="88" t="s">
        <v>30</v>
      </c>
      <c r="AD100" s="89"/>
      <c r="AE100" s="37" t="b">
        <f t="shared" si="17"/>
        <v>1</v>
      </c>
      <c r="AF100" s="37" t="str">
        <f t="shared" si="18"/>
        <v>DRAW</v>
      </c>
      <c r="AG100" s="37">
        <f t="shared" si="19"/>
        <v>1</v>
      </c>
      <c r="AH100" s="45"/>
    </row>
    <row r="101" spans="1:34" x14ac:dyDescent="0.3">
      <c r="A101" s="120">
        <v>46204</v>
      </c>
      <c r="B101" s="121">
        <v>0.95833333333333337</v>
      </c>
      <c r="C101" s="111"/>
      <c r="D101" s="96" t="s">
        <v>101</v>
      </c>
      <c r="E101" s="97"/>
      <c r="F101" s="98" t="s">
        <v>30</v>
      </c>
      <c r="G101" s="52"/>
      <c r="H101" s="2"/>
      <c r="I101" s="51"/>
      <c r="J101" s="98" t="s">
        <v>30</v>
      </c>
      <c r="K101" s="99"/>
      <c r="L101" s="96" t="str">
        <f t="shared" si="10"/>
        <v>DRAW</v>
      </c>
      <c r="M101" s="43"/>
      <c r="N101" s="51"/>
      <c r="O101" s="98" t="s">
        <v>30</v>
      </c>
      <c r="P101" s="99"/>
      <c r="Q101" s="96" t="b">
        <f t="shared" si="11"/>
        <v>1</v>
      </c>
      <c r="R101" s="96" t="str">
        <f t="shared" si="12"/>
        <v>DRAW</v>
      </c>
      <c r="S101" s="96">
        <f t="shared" si="13"/>
        <v>1</v>
      </c>
      <c r="T101" s="2"/>
      <c r="U101" s="51"/>
      <c r="V101" s="98" t="s">
        <v>30</v>
      </c>
      <c r="W101" s="99"/>
      <c r="X101" s="96" t="b">
        <f t="shared" si="14"/>
        <v>1</v>
      </c>
      <c r="Y101" s="96" t="str">
        <f t="shared" si="15"/>
        <v>DRAW</v>
      </c>
      <c r="Z101" s="96">
        <f t="shared" si="16"/>
        <v>1</v>
      </c>
      <c r="AA101" s="2"/>
      <c r="AB101" s="51"/>
      <c r="AC101" s="98" t="s">
        <v>30</v>
      </c>
      <c r="AD101" s="99"/>
      <c r="AE101" s="96" t="b">
        <f t="shared" si="17"/>
        <v>1</v>
      </c>
      <c r="AF101" s="96" t="str">
        <f t="shared" si="18"/>
        <v>DRAW</v>
      </c>
      <c r="AG101" s="96">
        <f t="shared" si="19"/>
        <v>1</v>
      </c>
      <c r="AH101" s="45"/>
    </row>
    <row r="102" spans="1:34" x14ac:dyDescent="0.3">
      <c r="A102" s="109"/>
      <c r="B102" s="110"/>
      <c r="C102" s="111"/>
      <c r="D102" s="112"/>
      <c r="E102" s="113"/>
      <c r="F102" s="114" t="s">
        <v>30</v>
      </c>
      <c r="G102" s="115"/>
      <c r="H102" s="2"/>
      <c r="I102" s="94"/>
      <c r="J102" s="92" t="s">
        <v>30</v>
      </c>
      <c r="K102" s="95"/>
      <c r="L102" s="90" t="str">
        <f t="shared" si="10"/>
        <v>DRAW</v>
      </c>
      <c r="M102" s="43"/>
      <c r="N102" s="94"/>
      <c r="O102" s="92" t="s">
        <v>30</v>
      </c>
      <c r="P102" s="95"/>
      <c r="Q102" s="90" t="b">
        <f t="shared" si="11"/>
        <v>1</v>
      </c>
      <c r="R102" s="90" t="str">
        <f t="shared" si="12"/>
        <v>DRAW</v>
      </c>
      <c r="S102" s="90">
        <f t="shared" si="13"/>
        <v>1</v>
      </c>
      <c r="T102" s="2"/>
      <c r="U102" s="94"/>
      <c r="V102" s="92" t="s">
        <v>30</v>
      </c>
      <c r="W102" s="95"/>
      <c r="X102" s="90" t="b">
        <f t="shared" si="14"/>
        <v>1</v>
      </c>
      <c r="Y102" s="90" t="str">
        <f t="shared" si="15"/>
        <v>DRAW</v>
      </c>
      <c r="Z102" s="90">
        <f t="shared" si="16"/>
        <v>1</v>
      </c>
      <c r="AA102" s="2"/>
      <c r="AB102" s="94"/>
      <c r="AC102" s="92" t="s">
        <v>30</v>
      </c>
      <c r="AD102" s="95"/>
      <c r="AE102" s="90" t="b">
        <f t="shared" si="17"/>
        <v>1</v>
      </c>
      <c r="AF102" s="90" t="str">
        <f t="shared" si="18"/>
        <v>DRAW</v>
      </c>
      <c r="AG102" s="90">
        <f t="shared" si="19"/>
        <v>1</v>
      </c>
      <c r="AH102" s="45"/>
    </row>
    <row r="103" spans="1:34" x14ac:dyDescent="0.3">
      <c r="A103" s="35"/>
      <c r="B103" s="36"/>
      <c r="C103" s="111"/>
      <c r="D103" s="116"/>
      <c r="E103" s="117"/>
      <c r="F103" s="118" t="s">
        <v>30</v>
      </c>
      <c r="G103" s="119"/>
      <c r="H103" s="2"/>
      <c r="I103" s="47"/>
      <c r="J103" s="88" t="s">
        <v>30</v>
      </c>
      <c r="K103" s="89"/>
      <c r="L103" s="37" t="str">
        <f t="shared" si="10"/>
        <v>DRAW</v>
      </c>
      <c r="M103" s="43"/>
      <c r="N103" s="47"/>
      <c r="O103" s="88" t="s">
        <v>30</v>
      </c>
      <c r="P103" s="89"/>
      <c r="Q103" s="37" t="b">
        <f t="shared" si="11"/>
        <v>1</v>
      </c>
      <c r="R103" s="37" t="str">
        <f t="shared" si="12"/>
        <v>DRAW</v>
      </c>
      <c r="S103" s="37">
        <f t="shared" si="13"/>
        <v>1</v>
      </c>
      <c r="T103" s="2"/>
      <c r="U103" s="47"/>
      <c r="V103" s="88" t="s">
        <v>30</v>
      </c>
      <c r="W103" s="89"/>
      <c r="X103" s="37" t="b">
        <f t="shared" si="14"/>
        <v>1</v>
      </c>
      <c r="Y103" s="37" t="str">
        <f t="shared" si="15"/>
        <v>DRAW</v>
      </c>
      <c r="Z103" s="37">
        <f t="shared" si="16"/>
        <v>1</v>
      </c>
      <c r="AA103" s="2"/>
      <c r="AB103" s="47"/>
      <c r="AC103" s="88" t="s">
        <v>30</v>
      </c>
      <c r="AD103" s="89"/>
      <c r="AE103" s="37" t="b">
        <f t="shared" si="17"/>
        <v>1</v>
      </c>
      <c r="AF103" s="37" t="str">
        <f t="shared" si="18"/>
        <v>DRAW</v>
      </c>
      <c r="AG103" s="37">
        <f t="shared" si="19"/>
        <v>1</v>
      </c>
      <c r="AH103" s="45"/>
    </row>
    <row r="104" spans="1:34" x14ac:dyDescent="0.3">
      <c r="A104" s="120">
        <v>46205</v>
      </c>
      <c r="B104" s="121">
        <v>0.125</v>
      </c>
      <c r="C104" s="111"/>
      <c r="D104" s="96" t="s">
        <v>101</v>
      </c>
      <c r="E104" s="97"/>
      <c r="F104" s="98" t="s">
        <v>30</v>
      </c>
      <c r="G104" s="52"/>
      <c r="H104" s="2"/>
      <c r="I104" s="51"/>
      <c r="J104" s="98" t="s">
        <v>30</v>
      </c>
      <c r="K104" s="99"/>
      <c r="L104" s="96" t="str">
        <f t="shared" si="10"/>
        <v>DRAW</v>
      </c>
      <c r="M104" s="43"/>
      <c r="N104" s="51"/>
      <c r="O104" s="98" t="s">
        <v>30</v>
      </c>
      <c r="P104" s="99"/>
      <c r="Q104" s="96" t="b">
        <f t="shared" si="11"/>
        <v>1</v>
      </c>
      <c r="R104" s="96" t="str">
        <f t="shared" si="12"/>
        <v>DRAW</v>
      </c>
      <c r="S104" s="96">
        <f t="shared" si="13"/>
        <v>1</v>
      </c>
      <c r="T104" s="2"/>
      <c r="U104" s="51"/>
      <c r="V104" s="98" t="s">
        <v>30</v>
      </c>
      <c r="W104" s="99"/>
      <c r="X104" s="96" t="b">
        <f t="shared" si="14"/>
        <v>1</v>
      </c>
      <c r="Y104" s="96" t="str">
        <f t="shared" si="15"/>
        <v>DRAW</v>
      </c>
      <c r="Z104" s="96">
        <f t="shared" si="16"/>
        <v>1</v>
      </c>
      <c r="AA104" s="2"/>
      <c r="AB104" s="51"/>
      <c r="AC104" s="98" t="s">
        <v>30</v>
      </c>
      <c r="AD104" s="99"/>
      <c r="AE104" s="96" t="b">
        <f t="shared" si="17"/>
        <v>1</v>
      </c>
      <c r="AF104" s="96" t="str">
        <f t="shared" si="18"/>
        <v>DRAW</v>
      </c>
      <c r="AG104" s="96">
        <f t="shared" si="19"/>
        <v>1</v>
      </c>
      <c r="AH104" s="45"/>
    </row>
    <row r="105" spans="1:34" x14ac:dyDescent="0.3">
      <c r="A105" s="109"/>
      <c r="B105" s="110"/>
      <c r="C105" s="111"/>
      <c r="D105" s="112"/>
      <c r="E105" s="113"/>
      <c r="F105" s="114" t="s">
        <v>30</v>
      </c>
      <c r="G105" s="115"/>
      <c r="H105" s="2"/>
      <c r="I105" s="94"/>
      <c r="J105" s="92" t="s">
        <v>30</v>
      </c>
      <c r="K105" s="95"/>
      <c r="L105" s="90" t="str">
        <f t="shared" si="10"/>
        <v>DRAW</v>
      </c>
      <c r="M105" s="43"/>
      <c r="N105" s="94"/>
      <c r="O105" s="92" t="s">
        <v>30</v>
      </c>
      <c r="P105" s="95"/>
      <c r="Q105" s="90" t="b">
        <f t="shared" si="11"/>
        <v>1</v>
      </c>
      <c r="R105" s="90" t="str">
        <f t="shared" si="12"/>
        <v>DRAW</v>
      </c>
      <c r="S105" s="90">
        <f t="shared" si="13"/>
        <v>1</v>
      </c>
      <c r="T105" s="2"/>
      <c r="U105" s="94"/>
      <c r="V105" s="92" t="s">
        <v>30</v>
      </c>
      <c r="W105" s="95"/>
      <c r="X105" s="90" t="b">
        <f t="shared" si="14"/>
        <v>1</v>
      </c>
      <c r="Y105" s="90" t="str">
        <f t="shared" si="15"/>
        <v>DRAW</v>
      </c>
      <c r="Z105" s="90">
        <f t="shared" si="16"/>
        <v>1</v>
      </c>
      <c r="AA105" s="2"/>
      <c r="AB105" s="94"/>
      <c r="AC105" s="92" t="s">
        <v>30</v>
      </c>
      <c r="AD105" s="95"/>
      <c r="AE105" s="90" t="b">
        <f t="shared" si="17"/>
        <v>1</v>
      </c>
      <c r="AF105" s="90" t="str">
        <f t="shared" si="18"/>
        <v>DRAW</v>
      </c>
      <c r="AG105" s="90">
        <f t="shared" si="19"/>
        <v>1</v>
      </c>
      <c r="AH105" s="45"/>
    </row>
    <row r="106" spans="1:34" x14ac:dyDescent="0.3">
      <c r="A106" s="35"/>
      <c r="B106" s="36"/>
      <c r="C106" s="111"/>
      <c r="D106" s="116"/>
      <c r="E106" s="117"/>
      <c r="F106" s="118" t="s">
        <v>30</v>
      </c>
      <c r="G106" s="119"/>
      <c r="H106" s="2"/>
      <c r="I106" s="47"/>
      <c r="J106" s="88" t="s">
        <v>30</v>
      </c>
      <c r="K106" s="89"/>
      <c r="L106" s="37" t="str">
        <f t="shared" si="10"/>
        <v>DRAW</v>
      </c>
      <c r="M106" s="43"/>
      <c r="N106" s="47"/>
      <c r="O106" s="88" t="s">
        <v>30</v>
      </c>
      <c r="P106" s="89"/>
      <c r="Q106" s="37" t="b">
        <f t="shared" si="11"/>
        <v>1</v>
      </c>
      <c r="R106" s="37" t="str">
        <f t="shared" si="12"/>
        <v>DRAW</v>
      </c>
      <c r="S106" s="37">
        <f t="shared" si="13"/>
        <v>1</v>
      </c>
      <c r="T106" s="2"/>
      <c r="U106" s="47"/>
      <c r="V106" s="88" t="s">
        <v>30</v>
      </c>
      <c r="W106" s="89"/>
      <c r="X106" s="37" t="b">
        <f t="shared" si="14"/>
        <v>1</v>
      </c>
      <c r="Y106" s="37" t="str">
        <f t="shared" si="15"/>
        <v>DRAW</v>
      </c>
      <c r="Z106" s="37">
        <f t="shared" si="16"/>
        <v>1</v>
      </c>
      <c r="AA106" s="2"/>
      <c r="AB106" s="47"/>
      <c r="AC106" s="88" t="s">
        <v>30</v>
      </c>
      <c r="AD106" s="89"/>
      <c r="AE106" s="37" t="b">
        <f t="shared" si="17"/>
        <v>1</v>
      </c>
      <c r="AF106" s="37" t="str">
        <f t="shared" si="18"/>
        <v>DRAW</v>
      </c>
      <c r="AG106" s="37">
        <f t="shared" si="19"/>
        <v>1</v>
      </c>
      <c r="AH106" s="45"/>
    </row>
    <row r="107" spans="1:34" x14ac:dyDescent="0.3">
      <c r="A107" s="120">
        <v>46205</v>
      </c>
      <c r="B107" s="121">
        <v>0.91666666666666663</v>
      </c>
      <c r="C107" s="111"/>
      <c r="D107" s="96" t="s">
        <v>101</v>
      </c>
      <c r="E107" s="97"/>
      <c r="F107" s="98" t="s">
        <v>30</v>
      </c>
      <c r="G107" s="52"/>
      <c r="H107" s="2"/>
      <c r="I107" s="51"/>
      <c r="J107" s="98" t="s">
        <v>30</v>
      </c>
      <c r="K107" s="99"/>
      <c r="L107" s="96" t="str">
        <f t="shared" si="10"/>
        <v>DRAW</v>
      </c>
      <c r="M107" s="43"/>
      <c r="N107" s="51"/>
      <c r="O107" s="98" t="s">
        <v>30</v>
      </c>
      <c r="P107" s="99"/>
      <c r="Q107" s="96" t="b">
        <f t="shared" si="11"/>
        <v>1</v>
      </c>
      <c r="R107" s="96" t="str">
        <f t="shared" si="12"/>
        <v>DRAW</v>
      </c>
      <c r="S107" s="96">
        <f t="shared" si="13"/>
        <v>1</v>
      </c>
      <c r="T107" s="2"/>
      <c r="U107" s="51"/>
      <c r="V107" s="98" t="s">
        <v>30</v>
      </c>
      <c r="W107" s="99"/>
      <c r="X107" s="96" t="b">
        <f t="shared" si="14"/>
        <v>1</v>
      </c>
      <c r="Y107" s="96" t="str">
        <f t="shared" si="15"/>
        <v>DRAW</v>
      </c>
      <c r="Z107" s="96">
        <f t="shared" si="16"/>
        <v>1</v>
      </c>
      <c r="AA107" s="2"/>
      <c r="AB107" s="51"/>
      <c r="AC107" s="98" t="s">
        <v>30</v>
      </c>
      <c r="AD107" s="99"/>
      <c r="AE107" s="96" t="b">
        <f t="shared" si="17"/>
        <v>1</v>
      </c>
      <c r="AF107" s="96" t="str">
        <f t="shared" si="18"/>
        <v>DRAW</v>
      </c>
      <c r="AG107" s="96">
        <f t="shared" si="19"/>
        <v>1</v>
      </c>
      <c r="AH107" s="45"/>
    </row>
    <row r="108" spans="1:34" x14ac:dyDescent="0.3">
      <c r="A108" s="109"/>
      <c r="B108" s="110"/>
      <c r="C108" s="111"/>
      <c r="D108" s="112"/>
      <c r="E108" s="113"/>
      <c r="F108" s="114" t="s">
        <v>30</v>
      </c>
      <c r="G108" s="115"/>
      <c r="H108" s="2"/>
      <c r="I108" s="94"/>
      <c r="J108" s="92" t="s">
        <v>30</v>
      </c>
      <c r="K108" s="95"/>
      <c r="L108" s="90" t="str">
        <f t="shared" si="10"/>
        <v>DRAW</v>
      </c>
      <c r="M108" s="43"/>
      <c r="N108" s="94"/>
      <c r="O108" s="92" t="s">
        <v>30</v>
      </c>
      <c r="P108" s="95"/>
      <c r="Q108" s="90" t="b">
        <f t="shared" si="11"/>
        <v>1</v>
      </c>
      <c r="R108" s="90" t="str">
        <f t="shared" si="12"/>
        <v>DRAW</v>
      </c>
      <c r="S108" s="90">
        <f t="shared" si="13"/>
        <v>1</v>
      </c>
      <c r="T108" s="2"/>
      <c r="U108" s="94"/>
      <c r="V108" s="92" t="s">
        <v>30</v>
      </c>
      <c r="W108" s="95"/>
      <c r="X108" s="90" t="b">
        <f t="shared" si="14"/>
        <v>1</v>
      </c>
      <c r="Y108" s="90" t="str">
        <f t="shared" si="15"/>
        <v>DRAW</v>
      </c>
      <c r="Z108" s="90">
        <f t="shared" si="16"/>
        <v>1</v>
      </c>
      <c r="AA108" s="2"/>
      <c r="AB108" s="94"/>
      <c r="AC108" s="92" t="s">
        <v>30</v>
      </c>
      <c r="AD108" s="95"/>
      <c r="AE108" s="90" t="b">
        <f t="shared" si="17"/>
        <v>1</v>
      </c>
      <c r="AF108" s="90" t="str">
        <f t="shared" si="18"/>
        <v>DRAW</v>
      </c>
      <c r="AG108" s="90">
        <f t="shared" si="19"/>
        <v>1</v>
      </c>
      <c r="AH108" s="45"/>
    </row>
    <row r="109" spans="1:34" x14ac:dyDescent="0.3">
      <c r="A109" s="35"/>
      <c r="B109" s="36"/>
      <c r="C109" s="111"/>
      <c r="D109" s="116"/>
      <c r="E109" s="117"/>
      <c r="F109" s="118" t="s">
        <v>30</v>
      </c>
      <c r="G109" s="119"/>
      <c r="H109" s="2"/>
      <c r="I109" s="47"/>
      <c r="J109" s="88" t="s">
        <v>30</v>
      </c>
      <c r="K109" s="89"/>
      <c r="L109" s="37" t="str">
        <f t="shared" si="10"/>
        <v>DRAW</v>
      </c>
      <c r="M109" s="43"/>
      <c r="N109" s="47"/>
      <c r="O109" s="88" t="s">
        <v>30</v>
      </c>
      <c r="P109" s="89"/>
      <c r="Q109" s="37" t="b">
        <f t="shared" si="11"/>
        <v>1</v>
      </c>
      <c r="R109" s="37" t="str">
        <f t="shared" si="12"/>
        <v>DRAW</v>
      </c>
      <c r="S109" s="37">
        <f t="shared" si="13"/>
        <v>1</v>
      </c>
      <c r="T109" s="2"/>
      <c r="U109" s="47"/>
      <c r="V109" s="88" t="s">
        <v>30</v>
      </c>
      <c r="W109" s="89"/>
      <c r="X109" s="37" t="b">
        <f t="shared" si="14"/>
        <v>1</v>
      </c>
      <c r="Y109" s="37" t="str">
        <f t="shared" si="15"/>
        <v>DRAW</v>
      </c>
      <c r="Z109" s="37">
        <f t="shared" si="16"/>
        <v>1</v>
      </c>
      <c r="AA109" s="2"/>
      <c r="AB109" s="47"/>
      <c r="AC109" s="88" t="s">
        <v>30</v>
      </c>
      <c r="AD109" s="89"/>
      <c r="AE109" s="37" t="b">
        <f t="shared" si="17"/>
        <v>1</v>
      </c>
      <c r="AF109" s="37" t="str">
        <f t="shared" si="18"/>
        <v>DRAW</v>
      </c>
      <c r="AG109" s="37">
        <f t="shared" si="19"/>
        <v>1</v>
      </c>
      <c r="AH109" s="45"/>
    </row>
    <row r="110" spans="1:34" x14ac:dyDescent="0.3">
      <c r="A110" s="120">
        <v>46206</v>
      </c>
      <c r="B110" s="121">
        <v>8.3333333333333329E-2</v>
      </c>
      <c r="C110" s="111"/>
      <c r="D110" s="96" t="s">
        <v>101</v>
      </c>
      <c r="E110" s="97"/>
      <c r="F110" s="98" t="s">
        <v>30</v>
      </c>
      <c r="G110" s="52"/>
      <c r="H110" s="2"/>
      <c r="I110" s="51"/>
      <c r="J110" s="98" t="s">
        <v>30</v>
      </c>
      <c r="K110" s="99"/>
      <c r="L110" s="96" t="str">
        <f t="shared" si="10"/>
        <v>DRAW</v>
      </c>
      <c r="M110" s="43"/>
      <c r="N110" s="51"/>
      <c r="O110" s="98" t="s">
        <v>30</v>
      </c>
      <c r="P110" s="99"/>
      <c r="Q110" s="96" t="b">
        <f t="shared" si="11"/>
        <v>1</v>
      </c>
      <c r="R110" s="96" t="str">
        <f t="shared" si="12"/>
        <v>DRAW</v>
      </c>
      <c r="S110" s="96">
        <f t="shared" si="13"/>
        <v>1</v>
      </c>
      <c r="T110" s="2"/>
      <c r="U110" s="51"/>
      <c r="V110" s="98" t="s">
        <v>30</v>
      </c>
      <c r="W110" s="99"/>
      <c r="X110" s="96" t="b">
        <f t="shared" si="14"/>
        <v>1</v>
      </c>
      <c r="Y110" s="96" t="str">
        <f t="shared" si="15"/>
        <v>DRAW</v>
      </c>
      <c r="Z110" s="96">
        <f t="shared" si="16"/>
        <v>1</v>
      </c>
      <c r="AA110" s="2"/>
      <c r="AB110" s="51"/>
      <c r="AC110" s="98" t="s">
        <v>30</v>
      </c>
      <c r="AD110" s="99"/>
      <c r="AE110" s="96" t="b">
        <f t="shared" si="17"/>
        <v>1</v>
      </c>
      <c r="AF110" s="96" t="str">
        <f t="shared" si="18"/>
        <v>DRAW</v>
      </c>
      <c r="AG110" s="96">
        <f t="shared" si="19"/>
        <v>1</v>
      </c>
      <c r="AH110" s="45"/>
    </row>
    <row r="111" spans="1:34" x14ac:dyDescent="0.3">
      <c r="A111" s="109"/>
      <c r="B111" s="110"/>
      <c r="C111" s="111"/>
      <c r="D111" s="112"/>
      <c r="E111" s="113"/>
      <c r="F111" s="114" t="s">
        <v>30</v>
      </c>
      <c r="G111" s="115"/>
      <c r="H111" s="2"/>
      <c r="I111" s="94"/>
      <c r="J111" s="92" t="s">
        <v>30</v>
      </c>
      <c r="K111" s="95"/>
      <c r="L111" s="90" t="str">
        <f t="shared" si="10"/>
        <v>DRAW</v>
      </c>
      <c r="M111" s="43"/>
      <c r="N111" s="94"/>
      <c r="O111" s="92" t="s">
        <v>30</v>
      </c>
      <c r="P111" s="95"/>
      <c r="Q111" s="90" t="b">
        <f t="shared" si="11"/>
        <v>1</v>
      </c>
      <c r="R111" s="90" t="str">
        <f t="shared" si="12"/>
        <v>DRAW</v>
      </c>
      <c r="S111" s="90">
        <f t="shared" si="13"/>
        <v>1</v>
      </c>
      <c r="T111" s="2"/>
      <c r="U111" s="94"/>
      <c r="V111" s="92" t="s">
        <v>30</v>
      </c>
      <c r="W111" s="95"/>
      <c r="X111" s="90" t="b">
        <f t="shared" si="14"/>
        <v>1</v>
      </c>
      <c r="Y111" s="90" t="str">
        <f t="shared" si="15"/>
        <v>DRAW</v>
      </c>
      <c r="Z111" s="90">
        <f t="shared" si="16"/>
        <v>1</v>
      </c>
      <c r="AA111" s="2"/>
      <c r="AB111" s="94"/>
      <c r="AC111" s="92" t="s">
        <v>30</v>
      </c>
      <c r="AD111" s="95"/>
      <c r="AE111" s="90" t="b">
        <f t="shared" si="17"/>
        <v>1</v>
      </c>
      <c r="AF111" s="90" t="str">
        <f t="shared" si="18"/>
        <v>DRAW</v>
      </c>
      <c r="AG111" s="90">
        <f t="shared" si="19"/>
        <v>1</v>
      </c>
      <c r="AH111" s="45"/>
    </row>
    <row r="112" spans="1:34" x14ac:dyDescent="0.3">
      <c r="A112" s="35"/>
      <c r="B112" s="36"/>
      <c r="C112" s="111"/>
      <c r="D112" s="116"/>
      <c r="E112" s="117"/>
      <c r="F112" s="118" t="s">
        <v>30</v>
      </c>
      <c r="G112" s="119"/>
      <c r="H112" s="2"/>
      <c r="I112" s="47"/>
      <c r="J112" s="88" t="s">
        <v>30</v>
      </c>
      <c r="K112" s="89"/>
      <c r="L112" s="37" t="str">
        <f t="shared" si="10"/>
        <v>DRAW</v>
      </c>
      <c r="M112" s="43"/>
      <c r="N112" s="47"/>
      <c r="O112" s="88" t="s">
        <v>30</v>
      </c>
      <c r="P112" s="89"/>
      <c r="Q112" s="37" t="b">
        <f t="shared" si="11"/>
        <v>1</v>
      </c>
      <c r="R112" s="37" t="str">
        <f t="shared" si="12"/>
        <v>DRAW</v>
      </c>
      <c r="S112" s="37">
        <f t="shared" si="13"/>
        <v>1</v>
      </c>
      <c r="T112" s="2"/>
      <c r="U112" s="47"/>
      <c r="V112" s="88" t="s">
        <v>30</v>
      </c>
      <c r="W112" s="89"/>
      <c r="X112" s="37" t="b">
        <f t="shared" si="14"/>
        <v>1</v>
      </c>
      <c r="Y112" s="37" t="str">
        <f t="shared" si="15"/>
        <v>DRAW</v>
      </c>
      <c r="Z112" s="37">
        <f t="shared" si="16"/>
        <v>1</v>
      </c>
      <c r="AA112" s="2"/>
      <c r="AB112" s="47"/>
      <c r="AC112" s="88" t="s">
        <v>30</v>
      </c>
      <c r="AD112" s="89"/>
      <c r="AE112" s="37" t="b">
        <f t="shared" si="17"/>
        <v>1</v>
      </c>
      <c r="AF112" s="37" t="str">
        <f t="shared" si="18"/>
        <v>DRAW</v>
      </c>
      <c r="AG112" s="37">
        <f t="shared" si="19"/>
        <v>1</v>
      </c>
      <c r="AH112" s="45"/>
    </row>
    <row r="113" spans="1:34" x14ac:dyDescent="0.3">
      <c r="A113" s="120">
        <v>46206</v>
      </c>
      <c r="B113" s="121">
        <v>0.25</v>
      </c>
      <c r="C113" s="111"/>
      <c r="D113" s="96" t="s">
        <v>101</v>
      </c>
      <c r="E113" s="97"/>
      <c r="F113" s="98" t="s">
        <v>30</v>
      </c>
      <c r="G113" s="52"/>
      <c r="H113" s="2"/>
      <c r="I113" s="51"/>
      <c r="J113" s="98" t="s">
        <v>30</v>
      </c>
      <c r="K113" s="99"/>
      <c r="L113" s="96" t="str">
        <f t="shared" si="10"/>
        <v>DRAW</v>
      </c>
      <c r="M113" s="43"/>
      <c r="N113" s="51"/>
      <c r="O113" s="98" t="s">
        <v>30</v>
      </c>
      <c r="P113" s="99"/>
      <c r="Q113" s="96" t="b">
        <f t="shared" si="11"/>
        <v>1</v>
      </c>
      <c r="R113" s="96" t="str">
        <f t="shared" si="12"/>
        <v>DRAW</v>
      </c>
      <c r="S113" s="96">
        <f t="shared" si="13"/>
        <v>1</v>
      </c>
      <c r="T113" s="2"/>
      <c r="U113" s="51"/>
      <c r="V113" s="98" t="s">
        <v>30</v>
      </c>
      <c r="W113" s="99"/>
      <c r="X113" s="96" t="b">
        <f t="shared" si="14"/>
        <v>1</v>
      </c>
      <c r="Y113" s="96" t="str">
        <f t="shared" si="15"/>
        <v>DRAW</v>
      </c>
      <c r="Z113" s="96">
        <f t="shared" si="16"/>
        <v>1</v>
      </c>
      <c r="AA113" s="2"/>
      <c r="AB113" s="51"/>
      <c r="AC113" s="98" t="s">
        <v>30</v>
      </c>
      <c r="AD113" s="99"/>
      <c r="AE113" s="96" t="b">
        <f t="shared" si="17"/>
        <v>1</v>
      </c>
      <c r="AF113" s="96" t="str">
        <f t="shared" si="18"/>
        <v>DRAW</v>
      </c>
      <c r="AG113" s="96">
        <f t="shared" si="19"/>
        <v>1</v>
      </c>
      <c r="AH113" s="45"/>
    </row>
    <row r="114" spans="1:34" x14ac:dyDescent="0.3">
      <c r="A114" s="109"/>
      <c r="B114" s="110"/>
      <c r="C114" s="111"/>
      <c r="D114" s="112"/>
      <c r="E114" s="113"/>
      <c r="F114" s="114" t="s">
        <v>30</v>
      </c>
      <c r="G114" s="115"/>
      <c r="H114" s="2"/>
      <c r="I114" s="94"/>
      <c r="J114" s="92" t="s">
        <v>30</v>
      </c>
      <c r="K114" s="95"/>
      <c r="L114" s="90" t="str">
        <f t="shared" si="10"/>
        <v>DRAW</v>
      </c>
      <c r="M114" s="43"/>
      <c r="N114" s="94"/>
      <c r="O114" s="92" t="s">
        <v>30</v>
      </c>
      <c r="P114" s="95"/>
      <c r="Q114" s="90" t="b">
        <f t="shared" si="11"/>
        <v>1</v>
      </c>
      <c r="R114" s="90" t="str">
        <f t="shared" si="12"/>
        <v>DRAW</v>
      </c>
      <c r="S114" s="90">
        <f t="shared" si="13"/>
        <v>1</v>
      </c>
      <c r="T114" s="2"/>
      <c r="U114" s="94"/>
      <c r="V114" s="92" t="s">
        <v>30</v>
      </c>
      <c r="W114" s="95"/>
      <c r="X114" s="90" t="b">
        <f t="shared" si="14"/>
        <v>1</v>
      </c>
      <c r="Y114" s="90" t="str">
        <f t="shared" si="15"/>
        <v>DRAW</v>
      </c>
      <c r="Z114" s="90">
        <f t="shared" si="16"/>
        <v>1</v>
      </c>
      <c r="AA114" s="2"/>
      <c r="AB114" s="94"/>
      <c r="AC114" s="92" t="s">
        <v>30</v>
      </c>
      <c r="AD114" s="95"/>
      <c r="AE114" s="90" t="b">
        <f t="shared" si="17"/>
        <v>1</v>
      </c>
      <c r="AF114" s="90" t="str">
        <f t="shared" si="18"/>
        <v>DRAW</v>
      </c>
      <c r="AG114" s="90">
        <f t="shared" si="19"/>
        <v>1</v>
      </c>
      <c r="AH114" s="45"/>
    </row>
    <row r="115" spans="1:34" x14ac:dyDescent="0.3">
      <c r="A115" s="35"/>
      <c r="B115" s="36"/>
      <c r="C115" s="111"/>
      <c r="D115" s="116"/>
      <c r="E115" s="117"/>
      <c r="F115" s="118" t="s">
        <v>30</v>
      </c>
      <c r="G115" s="119"/>
      <c r="H115" s="2"/>
      <c r="I115" s="47"/>
      <c r="J115" s="88" t="s">
        <v>30</v>
      </c>
      <c r="K115" s="89"/>
      <c r="L115" s="37" t="str">
        <f t="shared" si="10"/>
        <v>DRAW</v>
      </c>
      <c r="M115" s="43"/>
      <c r="N115" s="47"/>
      <c r="O115" s="88" t="s">
        <v>30</v>
      </c>
      <c r="P115" s="89"/>
      <c r="Q115" s="37" t="b">
        <f t="shared" si="11"/>
        <v>1</v>
      </c>
      <c r="R115" s="37" t="str">
        <f t="shared" si="12"/>
        <v>DRAW</v>
      </c>
      <c r="S115" s="37">
        <f t="shared" si="13"/>
        <v>1</v>
      </c>
      <c r="T115" s="2"/>
      <c r="U115" s="47"/>
      <c r="V115" s="88" t="s">
        <v>30</v>
      </c>
      <c r="W115" s="89"/>
      <c r="X115" s="37" t="b">
        <f t="shared" si="14"/>
        <v>1</v>
      </c>
      <c r="Y115" s="37" t="str">
        <f t="shared" si="15"/>
        <v>DRAW</v>
      </c>
      <c r="Z115" s="37">
        <f t="shared" si="16"/>
        <v>1</v>
      </c>
      <c r="AA115" s="2"/>
      <c r="AB115" s="47"/>
      <c r="AC115" s="88" t="s">
        <v>30</v>
      </c>
      <c r="AD115" s="89"/>
      <c r="AE115" s="37" t="b">
        <f t="shared" si="17"/>
        <v>1</v>
      </c>
      <c r="AF115" s="37" t="str">
        <f t="shared" si="18"/>
        <v>DRAW</v>
      </c>
      <c r="AG115" s="37">
        <f t="shared" si="19"/>
        <v>1</v>
      </c>
      <c r="AH115" s="45"/>
    </row>
    <row r="116" spans="1:34" x14ac:dyDescent="0.3">
      <c r="A116" s="120">
        <v>46206</v>
      </c>
      <c r="B116" s="121">
        <v>0.875</v>
      </c>
      <c r="C116" s="111"/>
      <c r="D116" s="96" t="s">
        <v>101</v>
      </c>
      <c r="E116" s="97"/>
      <c r="F116" s="98" t="s">
        <v>30</v>
      </c>
      <c r="G116" s="52"/>
      <c r="H116" s="2"/>
      <c r="I116" s="51"/>
      <c r="J116" s="98" t="s">
        <v>30</v>
      </c>
      <c r="K116" s="99"/>
      <c r="L116" s="96" t="str">
        <f t="shared" si="10"/>
        <v>DRAW</v>
      </c>
      <c r="M116" s="43"/>
      <c r="N116" s="51"/>
      <c r="O116" s="98" t="s">
        <v>30</v>
      </c>
      <c r="P116" s="99"/>
      <c r="Q116" s="96" t="b">
        <f t="shared" si="11"/>
        <v>1</v>
      </c>
      <c r="R116" s="96" t="str">
        <f t="shared" si="12"/>
        <v>DRAW</v>
      </c>
      <c r="S116" s="96">
        <f t="shared" si="13"/>
        <v>1</v>
      </c>
      <c r="T116" s="2"/>
      <c r="U116" s="51"/>
      <c r="V116" s="98" t="s">
        <v>30</v>
      </c>
      <c r="W116" s="99"/>
      <c r="X116" s="96" t="b">
        <f t="shared" si="14"/>
        <v>1</v>
      </c>
      <c r="Y116" s="96" t="str">
        <f t="shared" si="15"/>
        <v>DRAW</v>
      </c>
      <c r="Z116" s="96">
        <f t="shared" si="16"/>
        <v>1</v>
      </c>
      <c r="AA116" s="2"/>
      <c r="AB116" s="51"/>
      <c r="AC116" s="98" t="s">
        <v>30</v>
      </c>
      <c r="AD116" s="99"/>
      <c r="AE116" s="96" t="b">
        <f t="shared" si="17"/>
        <v>1</v>
      </c>
      <c r="AF116" s="96" t="str">
        <f t="shared" si="18"/>
        <v>DRAW</v>
      </c>
      <c r="AG116" s="96">
        <f t="shared" si="19"/>
        <v>1</v>
      </c>
      <c r="AH116" s="45"/>
    </row>
    <row r="117" spans="1:34" x14ac:dyDescent="0.3">
      <c r="A117" s="109"/>
      <c r="B117" s="110"/>
      <c r="C117" s="111"/>
      <c r="D117" s="112"/>
      <c r="E117" s="113"/>
      <c r="F117" s="114" t="s">
        <v>30</v>
      </c>
      <c r="G117" s="115"/>
      <c r="H117" s="2"/>
      <c r="I117" s="94"/>
      <c r="J117" s="92" t="s">
        <v>30</v>
      </c>
      <c r="K117" s="95"/>
      <c r="L117" s="90" t="str">
        <f t="shared" si="10"/>
        <v>DRAW</v>
      </c>
      <c r="M117" s="43"/>
      <c r="N117" s="94"/>
      <c r="O117" s="92" t="s">
        <v>30</v>
      </c>
      <c r="P117" s="95"/>
      <c r="Q117" s="90" t="b">
        <f t="shared" si="11"/>
        <v>1</v>
      </c>
      <c r="R117" s="90" t="str">
        <f t="shared" si="12"/>
        <v>DRAW</v>
      </c>
      <c r="S117" s="90">
        <f t="shared" si="13"/>
        <v>1</v>
      </c>
      <c r="T117" s="2"/>
      <c r="U117" s="94"/>
      <c r="V117" s="92" t="s">
        <v>30</v>
      </c>
      <c r="W117" s="95"/>
      <c r="X117" s="90" t="b">
        <f t="shared" si="14"/>
        <v>1</v>
      </c>
      <c r="Y117" s="90" t="str">
        <f t="shared" si="15"/>
        <v>DRAW</v>
      </c>
      <c r="Z117" s="90">
        <f t="shared" si="16"/>
        <v>1</v>
      </c>
      <c r="AA117" s="2"/>
      <c r="AB117" s="94"/>
      <c r="AC117" s="92" t="s">
        <v>30</v>
      </c>
      <c r="AD117" s="95"/>
      <c r="AE117" s="90" t="b">
        <f t="shared" si="17"/>
        <v>1</v>
      </c>
      <c r="AF117" s="90" t="str">
        <f t="shared" si="18"/>
        <v>DRAW</v>
      </c>
      <c r="AG117" s="90">
        <f t="shared" si="19"/>
        <v>1</v>
      </c>
      <c r="AH117" s="45"/>
    </row>
    <row r="118" spans="1:34" x14ac:dyDescent="0.3">
      <c r="A118" s="35"/>
      <c r="B118" s="36"/>
      <c r="C118" s="111"/>
      <c r="D118" s="116"/>
      <c r="E118" s="117"/>
      <c r="F118" s="118" t="s">
        <v>30</v>
      </c>
      <c r="G118" s="119"/>
      <c r="H118" s="2"/>
      <c r="I118" s="47"/>
      <c r="J118" s="88" t="s">
        <v>30</v>
      </c>
      <c r="K118" s="89"/>
      <c r="L118" s="37" t="str">
        <f t="shared" si="10"/>
        <v>DRAW</v>
      </c>
      <c r="M118" s="43"/>
      <c r="N118" s="47"/>
      <c r="O118" s="88" t="s">
        <v>30</v>
      </c>
      <c r="P118" s="89"/>
      <c r="Q118" s="37" t="b">
        <f t="shared" si="11"/>
        <v>1</v>
      </c>
      <c r="R118" s="37" t="str">
        <f t="shared" si="12"/>
        <v>DRAW</v>
      </c>
      <c r="S118" s="37">
        <f t="shared" si="13"/>
        <v>1</v>
      </c>
      <c r="T118" s="2"/>
      <c r="U118" s="47"/>
      <c r="V118" s="88" t="s">
        <v>30</v>
      </c>
      <c r="W118" s="89"/>
      <c r="X118" s="37" t="b">
        <f t="shared" si="14"/>
        <v>1</v>
      </c>
      <c r="Y118" s="37" t="str">
        <f t="shared" si="15"/>
        <v>DRAW</v>
      </c>
      <c r="Z118" s="37">
        <f t="shared" si="16"/>
        <v>1</v>
      </c>
      <c r="AA118" s="2"/>
      <c r="AB118" s="47"/>
      <c r="AC118" s="88" t="s">
        <v>30</v>
      </c>
      <c r="AD118" s="89"/>
      <c r="AE118" s="37" t="b">
        <f t="shared" si="17"/>
        <v>1</v>
      </c>
      <c r="AF118" s="37" t="str">
        <f t="shared" si="18"/>
        <v>DRAW</v>
      </c>
      <c r="AG118" s="37">
        <f t="shared" si="19"/>
        <v>1</v>
      </c>
      <c r="AH118" s="45"/>
    </row>
    <row r="119" spans="1:34" x14ac:dyDescent="0.3">
      <c r="A119" s="120">
        <v>46207</v>
      </c>
      <c r="B119" s="121">
        <v>4.1666666666666664E-2</v>
      </c>
      <c r="C119" s="111"/>
      <c r="D119" s="96" t="s">
        <v>101</v>
      </c>
      <c r="E119" s="97"/>
      <c r="F119" s="98" t="s">
        <v>30</v>
      </c>
      <c r="G119" s="52"/>
      <c r="H119" s="2"/>
      <c r="I119" s="51"/>
      <c r="J119" s="98" t="s">
        <v>30</v>
      </c>
      <c r="K119" s="99"/>
      <c r="L119" s="96" t="str">
        <f t="shared" si="10"/>
        <v>DRAW</v>
      </c>
      <c r="M119" s="43"/>
      <c r="N119" s="51"/>
      <c r="O119" s="98" t="s">
        <v>30</v>
      </c>
      <c r="P119" s="99"/>
      <c r="Q119" s="96" t="b">
        <f t="shared" si="11"/>
        <v>1</v>
      </c>
      <c r="R119" s="96" t="str">
        <f t="shared" si="12"/>
        <v>DRAW</v>
      </c>
      <c r="S119" s="96">
        <f t="shared" si="13"/>
        <v>1</v>
      </c>
      <c r="T119" s="2"/>
      <c r="U119" s="51"/>
      <c r="V119" s="98" t="s">
        <v>30</v>
      </c>
      <c r="W119" s="99"/>
      <c r="X119" s="96" t="b">
        <f t="shared" si="14"/>
        <v>1</v>
      </c>
      <c r="Y119" s="96" t="str">
        <f t="shared" si="15"/>
        <v>DRAW</v>
      </c>
      <c r="Z119" s="96">
        <f t="shared" si="16"/>
        <v>1</v>
      </c>
      <c r="AA119" s="2"/>
      <c r="AB119" s="51"/>
      <c r="AC119" s="98" t="s">
        <v>30</v>
      </c>
      <c r="AD119" s="99"/>
      <c r="AE119" s="96" t="b">
        <f t="shared" si="17"/>
        <v>1</v>
      </c>
      <c r="AF119" s="96" t="str">
        <f t="shared" si="18"/>
        <v>DRAW</v>
      </c>
      <c r="AG119" s="96">
        <f t="shared" si="19"/>
        <v>1</v>
      </c>
      <c r="AH119" s="45"/>
    </row>
    <row r="120" spans="1:34" x14ac:dyDescent="0.3">
      <c r="A120" s="109"/>
      <c r="B120" s="110"/>
      <c r="C120" s="111"/>
      <c r="D120" s="112"/>
      <c r="E120" s="113"/>
      <c r="F120" s="114" t="s">
        <v>30</v>
      </c>
      <c r="G120" s="115"/>
      <c r="H120" s="2"/>
      <c r="I120" s="94"/>
      <c r="J120" s="92" t="s">
        <v>30</v>
      </c>
      <c r="K120" s="95"/>
      <c r="L120" s="90" t="str">
        <f t="shared" si="10"/>
        <v>DRAW</v>
      </c>
      <c r="M120" s="43"/>
      <c r="N120" s="94"/>
      <c r="O120" s="92" t="s">
        <v>30</v>
      </c>
      <c r="P120" s="95"/>
      <c r="Q120" s="90" t="b">
        <f t="shared" si="11"/>
        <v>1</v>
      </c>
      <c r="R120" s="90" t="str">
        <f t="shared" si="12"/>
        <v>DRAW</v>
      </c>
      <c r="S120" s="90">
        <f t="shared" si="13"/>
        <v>1</v>
      </c>
      <c r="T120" s="2"/>
      <c r="U120" s="94"/>
      <c r="V120" s="92" t="s">
        <v>30</v>
      </c>
      <c r="W120" s="95"/>
      <c r="X120" s="90" t="b">
        <f t="shared" si="14"/>
        <v>1</v>
      </c>
      <c r="Y120" s="90" t="str">
        <f t="shared" si="15"/>
        <v>DRAW</v>
      </c>
      <c r="Z120" s="90">
        <f t="shared" si="16"/>
        <v>1</v>
      </c>
      <c r="AA120" s="2"/>
      <c r="AB120" s="94"/>
      <c r="AC120" s="92" t="s">
        <v>30</v>
      </c>
      <c r="AD120" s="95"/>
      <c r="AE120" s="90" t="b">
        <f t="shared" si="17"/>
        <v>1</v>
      </c>
      <c r="AF120" s="90" t="str">
        <f t="shared" si="18"/>
        <v>DRAW</v>
      </c>
      <c r="AG120" s="90">
        <f t="shared" si="19"/>
        <v>1</v>
      </c>
      <c r="AH120" s="45"/>
    </row>
    <row r="121" spans="1:34" x14ac:dyDescent="0.3">
      <c r="A121" s="35"/>
      <c r="B121" s="36"/>
      <c r="C121" s="111"/>
      <c r="D121" s="116"/>
      <c r="E121" s="117"/>
      <c r="F121" s="118" t="s">
        <v>30</v>
      </c>
      <c r="G121" s="119"/>
      <c r="H121" s="2"/>
      <c r="I121" s="47"/>
      <c r="J121" s="88" t="s">
        <v>30</v>
      </c>
      <c r="K121" s="89"/>
      <c r="L121" s="37" t="str">
        <f t="shared" si="10"/>
        <v>DRAW</v>
      </c>
      <c r="M121" s="43"/>
      <c r="N121" s="47"/>
      <c r="O121" s="88" t="s">
        <v>30</v>
      </c>
      <c r="P121" s="89"/>
      <c r="Q121" s="37" t="b">
        <f t="shared" si="11"/>
        <v>1</v>
      </c>
      <c r="R121" s="37" t="str">
        <f t="shared" si="12"/>
        <v>DRAW</v>
      </c>
      <c r="S121" s="37">
        <f t="shared" si="13"/>
        <v>1</v>
      </c>
      <c r="T121" s="2"/>
      <c r="U121" s="47"/>
      <c r="V121" s="88" t="s">
        <v>30</v>
      </c>
      <c r="W121" s="89"/>
      <c r="X121" s="37" t="b">
        <f t="shared" si="14"/>
        <v>1</v>
      </c>
      <c r="Y121" s="37" t="str">
        <f t="shared" si="15"/>
        <v>DRAW</v>
      </c>
      <c r="Z121" s="37">
        <f t="shared" si="16"/>
        <v>1</v>
      </c>
      <c r="AA121" s="2"/>
      <c r="AB121" s="47"/>
      <c r="AC121" s="88" t="s">
        <v>30</v>
      </c>
      <c r="AD121" s="89"/>
      <c r="AE121" s="37" t="b">
        <f t="shared" si="17"/>
        <v>1</v>
      </c>
      <c r="AF121" s="37" t="str">
        <f t="shared" si="18"/>
        <v>DRAW</v>
      </c>
      <c r="AG121" s="37">
        <f t="shared" si="19"/>
        <v>1</v>
      </c>
      <c r="AH121" s="45"/>
    </row>
    <row r="122" spans="1:34" x14ac:dyDescent="0.3">
      <c r="A122" s="120">
        <v>46207</v>
      </c>
      <c r="B122" s="121">
        <v>0.1875</v>
      </c>
      <c r="C122" s="111"/>
      <c r="D122" s="96" t="s">
        <v>101</v>
      </c>
      <c r="E122" s="97"/>
      <c r="F122" s="98" t="s">
        <v>30</v>
      </c>
      <c r="G122" s="52"/>
      <c r="H122" s="2"/>
      <c r="I122" s="51"/>
      <c r="J122" s="98" t="s">
        <v>30</v>
      </c>
      <c r="K122" s="99"/>
      <c r="L122" s="96" t="str">
        <f t="shared" si="10"/>
        <v>DRAW</v>
      </c>
      <c r="M122" s="43"/>
      <c r="N122" s="51"/>
      <c r="O122" s="98" t="s">
        <v>30</v>
      </c>
      <c r="P122" s="99"/>
      <c r="Q122" s="96" t="b">
        <f t="shared" si="11"/>
        <v>1</v>
      </c>
      <c r="R122" s="96" t="str">
        <f t="shared" si="12"/>
        <v>DRAW</v>
      </c>
      <c r="S122" s="96">
        <f t="shared" si="13"/>
        <v>1</v>
      </c>
      <c r="T122" s="2"/>
      <c r="U122" s="51"/>
      <c r="V122" s="98" t="s">
        <v>30</v>
      </c>
      <c r="W122" s="99"/>
      <c r="X122" s="96" t="b">
        <f t="shared" si="14"/>
        <v>1</v>
      </c>
      <c r="Y122" s="96" t="str">
        <f t="shared" si="15"/>
        <v>DRAW</v>
      </c>
      <c r="Z122" s="96">
        <f t="shared" si="16"/>
        <v>1</v>
      </c>
      <c r="AA122" s="2"/>
      <c r="AB122" s="51"/>
      <c r="AC122" s="98" t="s">
        <v>30</v>
      </c>
      <c r="AD122" s="99"/>
      <c r="AE122" s="96" t="b">
        <f t="shared" si="17"/>
        <v>1</v>
      </c>
      <c r="AF122" s="96" t="str">
        <f t="shared" si="18"/>
        <v>DRAW</v>
      </c>
      <c r="AG122" s="96">
        <f t="shared" si="19"/>
        <v>1</v>
      </c>
      <c r="AH122" s="45"/>
    </row>
    <row r="123" spans="1:34" x14ac:dyDescent="0.3">
      <c r="A123" s="109"/>
      <c r="B123" s="110"/>
      <c r="C123" s="111"/>
      <c r="D123" s="112"/>
      <c r="E123" s="113"/>
      <c r="F123" s="114" t="s">
        <v>30</v>
      </c>
      <c r="G123" s="115"/>
      <c r="H123" s="2"/>
      <c r="I123" s="94"/>
      <c r="J123" s="92" t="s">
        <v>30</v>
      </c>
      <c r="K123" s="95"/>
      <c r="L123" s="90" t="str">
        <f t="shared" si="10"/>
        <v>DRAW</v>
      </c>
      <c r="M123" s="43"/>
      <c r="N123" s="94"/>
      <c r="O123" s="92" t="s">
        <v>30</v>
      </c>
      <c r="P123" s="95"/>
      <c r="Q123" s="90" t="b">
        <f t="shared" si="11"/>
        <v>1</v>
      </c>
      <c r="R123" s="90" t="str">
        <f t="shared" si="12"/>
        <v>DRAW</v>
      </c>
      <c r="S123" s="90">
        <f t="shared" si="13"/>
        <v>1</v>
      </c>
      <c r="T123" s="2"/>
      <c r="U123" s="94"/>
      <c r="V123" s="92" t="s">
        <v>30</v>
      </c>
      <c r="W123" s="95"/>
      <c r="X123" s="90" t="b">
        <f t="shared" si="14"/>
        <v>1</v>
      </c>
      <c r="Y123" s="90" t="str">
        <f t="shared" si="15"/>
        <v>DRAW</v>
      </c>
      <c r="Z123" s="90">
        <f t="shared" si="16"/>
        <v>1</v>
      </c>
      <c r="AA123" s="2"/>
      <c r="AB123" s="94"/>
      <c r="AC123" s="92" t="s">
        <v>30</v>
      </c>
      <c r="AD123" s="95"/>
      <c r="AE123" s="90" t="b">
        <f t="shared" si="17"/>
        <v>1</v>
      </c>
      <c r="AF123" s="90" t="str">
        <f t="shared" si="18"/>
        <v>DRAW</v>
      </c>
      <c r="AG123" s="90">
        <f t="shared" si="19"/>
        <v>1</v>
      </c>
      <c r="AH123" s="45"/>
    </row>
    <row r="124" spans="1:34" ht="14.95" thickBot="1" x14ac:dyDescent="0.35">
      <c r="A124" s="122"/>
      <c r="B124" s="123"/>
      <c r="C124" s="111"/>
      <c r="D124" s="124"/>
      <c r="E124" s="125"/>
      <c r="F124" s="126" t="s">
        <v>30</v>
      </c>
      <c r="G124" s="127"/>
      <c r="H124" s="2"/>
      <c r="I124" s="128"/>
      <c r="J124" s="129" t="s">
        <v>30</v>
      </c>
      <c r="K124" s="130"/>
      <c r="L124" s="131" t="str">
        <f t="shared" si="10"/>
        <v>DRAW</v>
      </c>
      <c r="M124" s="43"/>
      <c r="N124" s="128"/>
      <c r="O124" s="129" t="s">
        <v>30</v>
      </c>
      <c r="P124" s="130"/>
      <c r="Q124" s="131" t="b">
        <f t="shared" si="11"/>
        <v>1</v>
      </c>
      <c r="R124" s="131" t="str">
        <f t="shared" si="12"/>
        <v>DRAW</v>
      </c>
      <c r="S124" s="131">
        <f t="shared" si="13"/>
        <v>1</v>
      </c>
      <c r="T124" s="2"/>
      <c r="U124" s="128"/>
      <c r="V124" s="129" t="s">
        <v>30</v>
      </c>
      <c r="W124" s="130"/>
      <c r="X124" s="131" t="b">
        <f t="shared" si="14"/>
        <v>1</v>
      </c>
      <c r="Y124" s="131" t="str">
        <f t="shared" si="15"/>
        <v>DRAW</v>
      </c>
      <c r="Z124" s="131">
        <f t="shared" si="16"/>
        <v>1</v>
      </c>
      <c r="AA124" s="2"/>
      <c r="AB124" s="128"/>
      <c r="AC124" s="129" t="s">
        <v>30</v>
      </c>
      <c r="AD124" s="130"/>
      <c r="AE124" s="131" t="b">
        <f t="shared" si="17"/>
        <v>1</v>
      </c>
      <c r="AF124" s="131" t="str">
        <f t="shared" si="18"/>
        <v>DRAW</v>
      </c>
      <c r="AG124" s="131">
        <f t="shared" si="19"/>
        <v>1</v>
      </c>
      <c r="AH124" s="45"/>
    </row>
    <row r="125" spans="1:34" x14ac:dyDescent="0.3">
      <c r="A125" s="109">
        <v>46207</v>
      </c>
      <c r="B125" s="110">
        <v>0.83333333333333337</v>
      </c>
      <c r="C125" s="111"/>
      <c r="D125" s="90" t="s">
        <v>102</v>
      </c>
      <c r="E125" s="91"/>
      <c r="F125" s="92" t="s">
        <v>30</v>
      </c>
      <c r="G125" s="93"/>
      <c r="H125" s="2"/>
      <c r="I125" s="94"/>
      <c r="J125" s="92" t="s">
        <v>30</v>
      </c>
      <c r="K125" s="95"/>
      <c r="L125" s="90" t="str">
        <f t="shared" si="10"/>
        <v>DRAW</v>
      </c>
      <c r="M125" s="43"/>
      <c r="N125" s="94"/>
      <c r="O125" s="92" t="s">
        <v>30</v>
      </c>
      <c r="P125" s="95"/>
      <c r="Q125" s="90" t="b">
        <f t="shared" si="11"/>
        <v>1</v>
      </c>
      <c r="R125" s="90" t="str">
        <f t="shared" si="12"/>
        <v>DRAW</v>
      </c>
      <c r="S125" s="90">
        <f t="shared" si="13"/>
        <v>1</v>
      </c>
      <c r="T125" s="2"/>
      <c r="U125" s="94"/>
      <c r="V125" s="92" t="s">
        <v>30</v>
      </c>
      <c r="W125" s="95"/>
      <c r="X125" s="90" t="b">
        <f t="shared" si="14"/>
        <v>1</v>
      </c>
      <c r="Y125" s="90" t="str">
        <f t="shared" si="15"/>
        <v>DRAW</v>
      </c>
      <c r="Z125" s="90">
        <f t="shared" si="16"/>
        <v>1</v>
      </c>
      <c r="AA125" s="2"/>
      <c r="AB125" s="94"/>
      <c r="AC125" s="92" t="s">
        <v>30</v>
      </c>
      <c r="AD125" s="95"/>
      <c r="AE125" s="90" t="b">
        <f t="shared" si="17"/>
        <v>1</v>
      </c>
      <c r="AF125" s="90" t="str">
        <f t="shared" si="18"/>
        <v>DRAW</v>
      </c>
      <c r="AG125" s="90">
        <f t="shared" si="19"/>
        <v>1</v>
      </c>
      <c r="AH125" s="45"/>
    </row>
    <row r="126" spans="1:34" x14ac:dyDescent="0.3">
      <c r="A126" s="109"/>
      <c r="B126" s="110"/>
      <c r="C126" s="111"/>
      <c r="D126" s="112"/>
      <c r="E126" s="113"/>
      <c r="F126" s="114" t="s">
        <v>30</v>
      </c>
      <c r="G126" s="115"/>
      <c r="H126" s="2"/>
      <c r="I126" s="94"/>
      <c r="J126" s="92" t="s">
        <v>30</v>
      </c>
      <c r="K126" s="95"/>
      <c r="L126" s="90" t="str">
        <f t="shared" si="10"/>
        <v>DRAW</v>
      </c>
      <c r="M126" s="43"/>
      <c r="N126" s="94"/>
      <c r="O126" s="92" t="s">
        <v>30</v>
      </c>
      <c r="P126" s="95"/>
      <c r="Q126" s="90" t="b">
        <f t="shared" si="11"/>
        <v>1</v>
      </c>
      <c r="R126" s="90" t="str">
        <f t="shared" si="12"/>
        <v>DRAW</v>
      </c>
      <c r="S126" s="90">
        <f t="shared" si="13"/>
        <v>1</v>
      </c>
      <c r="T126" s="2"/>
      <c r="U126" s="94"/>
      <c r="V126" s="92" t="s">
        <v>30</v>
      </c>
      <c r="W126" s="95"/>
      <c r="X126" s="90" t="b">
        <f t="shared" si="14"/>
        <v>1</v>
      </c>
      <c r="Y126" s="90" t="str">
        <f t="shared" si="15"/>
        <v>DRAW</v>
      </c>
      <c r="Z126" s="90">
        <f t="shared" si="16"/>
        <v>1</v>
      </c>
      <c r="AA126" s="2"/>
      <c r="AB126" s="94"/>
      <c r="AC126" s="92" t="s">
        <v>30</v>
      </c>
      <c r="AD126" s="95"/>
      <c r="AE126" s="90" t="b">
        <f t="shared" si="17"/>
        <v>1</v>
      </c>
      <c r="AF126" s="90" t="str">
        <f t="shared" si="18"/>
        <v>DRAW</v>
      </c>
      <c r="AG126" s="90">
        <f t="shared" si="19"/>
        <v>1</v>
      </c>
      <c r="AH126" s="45"/>
    </row>
    <row r="127" spans="1:34" x14ac:dyDescent="0.3">
      <c r="A127" s="35"/>
      <c r="B127" s="36"/>
      <c r="C127" s="111"/>
      <c r="D127" s="116"/>
      <c r="E127" s="117"/>
      <c r="F127" s="118" t="s">
        <v>30</v>
      </c>
      <c r="G127" s="119"/>
      <c r="H127" s="2"/>
      <c r="I127" s="47"/>
      <c r="J127" s="88" t="s">
        <v>30</v>
      </c>
      <c r="K127" s="89"/>
      <c r="L127" s="37" t="str">
        <f t="shared" si="10"/>
        <v>DRAW</v>
      </c>
      <c r="M127" s="43"/>
      <c r="N127" s="47"/>
      <c r="O127" s="88" t="s">
        <v>30</v>
      </c>
      <c r="P127" s="89"/>
      <c r="Q127" s="37" t="b">
        <f t="shared" si="11"/>
        <v>1</v>
      </c>
      <c r="R127" s="37" t="str">
        <f t="shared" si="12"/>
        <v>DRAW</v>
      </c>
      <c r="S127" s="37">
        <f t="shared" si="13"/>
        <v>1</v>
      </c>
      <c r="T127" s="2"/>
      <c r="U127" s="47"/>
      <c r="V127" s="88" t="s">
        <v>30</v>
      </c>
      <c r="W127" s="89"/>
      <c r="X127" s="37" t="b">
        <f t="shared" si="14"/>
        <v>1</v>
      </c>
      <c r="Y127" s="37" t="str">
        <f t="shared" si="15"/>
        <v>DRAW</v>
      </c>
      <c r="Z127" s="37">
        <f t="shared" si="16"/>
        <v>1</v>
      </c>
      <c r="AA127" s="2"/>
      <c r="AB127" s="47"/>
      <c r="AC127" s="88" t="s">
        <v>30</v>
      </c>
      <c r="AD127" s="89"/>
      <c r="AE127" s="37" t="b">
        <f t="shared" si="17"/>
        <v>1</v>
      </c>
      <c r="AF127" s="37" t="str">
        <f t="shared" si="18"/>
        <v>DRAW</v>
      </c>
      <c r="AG127" s="37">
        <f t="shared" si="19"/>
        <v>1</v>
      </c>
      <c r="AH127" s="45"/>
    </row>
    <row r="128" spans="1:34" x14ac:dyDescent="0.3">
      <c r="A128" s="120">
        <v>46208</v>
      </c>
      <c r="B128" s="121">
        <v>0</v>
      </c>
      <c r="C128" s="111"/>
      <c r="D128" s="96" t="s">
        <v>102</v>
      </c>
      <c r="E128" s="97"/>
      <c r="F128" s="98" t="s">
        <v>30</v>
      </c>
      <c r="G128" s="52"/>
      <c r="H128" s="2"/>
      <c r="I128" s="51"/>
      <c r="J128" s="98" t="s">
        <v>30</v>
      </c>
      <c r="K128" s="99"/>
      <c r="L128" s="96" t="str">
        <f t="shared" si="10"/>
        <v>DRAW</v>
      </c>
      <c r="M128" s="43"/>
      <c r="N128" s="51"/>
      <c r="O128" s="98" t="s">
        <v>30</v>
      </c>
      <c r="P128" s="99"/>
      <c r="Q128" s="96" t="b">
        <f t="shared" si="11"/>
        <v>1</v>
      </c>
      <c r="R128" s="96" t="str">
        <f t="shared" si="12"/>
        <v>DRAW</v>
      </c>
      <c r="S128" s="96">
        <f t="shared" si="13"/>
        <v>1</v>
      </c>
      <c r="T128" s="2"/>
      <c r="U128" s="51"/>
      <c r="V128" s="98" t="s">
        <v>30</v>
      </c>
      <c r="W128" s="99"/>
      <c r="X128" s="96" t="b">
        <f t="shared" si="14"/>
        <v>1</v>
      </c>
      <c r="Y128" s="96" t="str">
        <f t="shared" si="15"/>
        <v>DRAW</v>
      </c>
      <c r="Z128" s="96">
        <f t="shared" si="16"/>
        <v>1</v>
      </c>
      <c r="AA128" s="2"/>
      <c r="AB128" s="51"/>
      <c r="AC128" s="98" t="s">
        <v>30</v>
      </c>
      <c r="AD128" s="99"/>
      <c r="AE128" s="96" t="b">
        <f t="shared" si="17"/>
        <v>1</v>
      </c>
      <c r="AF128" s="96" t="str">
        <f t="shared" si="18"/>
        <v>DRAW</v>
      </c>
      <c r="AG128" s="96">
        <f t="shared" si="19"/>
        <v>1</v>
      </c>
      <c r="AH128" s="45"/>
    </row>
    <row r="129" spans="1:34" x14ac:dyDescent="0.3">
      <c r="A129" s="109"/>
      <c r="B129" s="110"/>
      <c r="C129" s="111"/>
      <c r="D129" s="112"/>
      <c r="E129" s="113"/>
      <c r="F129" s="114" t="s">
        <v>30</v>
      </c>
      <c r="G129" s="115"/>
      <c r="H129" s="2"/>
      <c r="I129" s="94"/>
      <c r="J129" s="92" t="s">
        <v>30</v>
      </c>
      <c r="K129" s="95"/>
      <c r="L129" s="90" t="str">
        <f t="shared" si="10"/>
        <v>DRAW</v>
      </c>
      <c r="M129" s="43"/>
      <c r="N129" s="94"/>
      <c r="O129" s="92" t="s">
        <v>30</v>
      </c>
      <c r="P129" s="95"/>
      <c r="Q129" s="90" t="b">
        <f t="shared" si="11"/>
        <v>1</v>
      </c>
      <c r="R129" s="90" t="str">
        <f t="shared" si="12"/>
        <v>DRAW</v>
      </c>
      <c r="S129" s="90">
        <f t="shared" si="13"/>
        <v>1</v>
      </c>
      <c r="T129" s="2"/>
      <c r="U129" s="94"/>
      <c r="V129" s="92" t="s">
        <v>30</v>
      </c>
      <c r="W129" s="95"/>
      <c r="X129" s="90" t="b">
        <f t="shared" si="14"/>
        <v>1</v>
      </c>
      <c r="Y129" s="90" t="str">
        <f t="shared" si="15"/>
        <v>DRAW</v>
      </c>
      <c r="Z129" s="90">
        <f t="shared" si="16"/>
        <v>1</v>
      </c>
      <c r="AA129" s="2"/>
      <c r="AB129" s="94"/>
      <c r="AC129" s="92" t="s">
        <v>30</v>
      </c>
      <c r="AD129" s="95"/>
      <c r="AE129" s="90" t="b">
        <f t="shared" si="17"/>
        <v>1</v>
      </c>
      <c r="AF129" s="90" t="str">
        <f t="shared" si="18"/>
        <v>DRAW</v>
      </c>
      <c r="AG129" s="90">
        <f t="shared" si="19"/>
        <v>1</v>
      </c>
      <c r="AH129" s="45"/>
    </row>
    <row r="130" spans="1:34" x14ac:dyDescent="0.3">
      <c r="A130" s="35"/>
      <c r="B130" s="36"/>
      <c r="C130" s="111"/>
      <c r="D130" s="116"/>
      <c r="E130" s="117"/>
      <c r="F130" s="118" t="s">
        <v>30</v>
      </c>
      <c r="G130" s="119"/>
      <c r="H130" s="2"/>
      <c r="I130" s="47"/>
      <c r="J130" s="88" t="s">
        <v>30</v>
      </c>
      <c r="K130" s="89"/>
      <c r="L130" s="37" t="str">
        <f t="shared" si="10"/>
        <v>DRAW</v>
      </c>
      <c r="M130" s="43"/>
      <c r="N130" s="47"/>
      <c r="O130" s="88" t="s">
        <v>30</v>
      </c>
      <c r="P130" s="89"/>
      <c r="Q130" s="37" t="b">
        <f t="shared" si="11"/>
        <v>1</v>
      </c>
      <c r="R130" s="37" t="str">
        <f t="shared" si="12"/>
        <v>DRAW</v>
      </c>
      <c r="S130" s="37">
        <f t="shared" si="13"/>
        <v>1</v>
      </c>
      <c r="T130" s="2"/>
      <c r="U130" s="47"/>
      <c r="V130" s="88" t="s">
        <v>30</v>
      </c>
      <c r="W130" s="89"/>
      <c r="X130" s="37" t="b">
        <f t="shared" si="14"/>
        <v>1</v>
      </c>
      <c r="Y130" s="37" t="str">
        <f t="shared" si="15"/>
        <v>DRAW</v>
      </c>
      <c r="Z130" s="37">
        <f t="shared" si="16"/>
        <v>1</v>
      </c>
      <c r="AA130" s="2"/>
      <c r="AB130" s="47"/>
      <c r="AC130" s="88" t="s">
        <v>30</v>
      </c>
      <c r="AD130" s="89"/>
      <c r="AE130" s="37" t="b">
        <f t="shared" si="17"/>
        <v>1</v>
      </c>
      <c r="AF130" s="37" t="str">
        <f t="shared" si="18"/>
        <v>DRAW</v>
      </c>
      <c r="AG130" s="37">
        <f t="shared" si="19"/>
        <v>1</v>
      </c>
      <c r="AH130" s="45"/>
    </row>
    <row r="131" spans="1:34" x14ac:dyDescent="0.3">
      <c r="A131" s="120">
        <v>46208</v>
      </c>
      <c r="B131" s="121">
        <v>0.95833333333333337</v>
      </c>
      <c r="C131" s="111"/>
      <c r="D131" s="96" t="s">
        <v>102</v>
      </c>
      <c r="E131" s="97"/>
      <c r="F131" s="98" t="s">
        <v>30</v>
      </c>
      <c r="G131" s="52"/>
      <c r="H131" s="2"/>
      <c r="I131" s="51"/>
      <c r="J131" s="98" t="s">
        <v>30</v>
      </c>
      <c r="K131" s="99"/>
      <c r="L131" s="96" t="str">
        <f t="shared" si="10"/>
        <v>DRAW</v>
      </c>
      <c r="M131" s="43"/>
      <c r="N131" s="51"/>
      <c r="O131" s="98" t="s">
        <v>30</v>
      </c>
      <c r="P131" s="99"/>
      <c r="Q131" s="96" t="b">
        <f t="shared" si="11"/>
        <v>1</v>
      </c>
      <c r="R131" s="96" t="str">
        <f t="shared" si="12"/>
        <v>DRAW</v>
      </c>
      <c r="S131" s="96">
        <f t="shared" si="13"/>
        <v>1</v>
      </c>
      <c r="T131" s="2"/>
      <c r="U131" s="51"/>
      <c r="V131" s="98" t="s">
        <v>30</v>
      </c>
      <c r="W131" s="99"/>
      <c r="X131" s="96" t="b">
        <f t="shared" si="14"/>
        <v>1</v>
      </c>
      <c r="Y131" s="96" t="str">
        <f t="shared" si="15"/>
        <v>DRAW</v>
      </c>
      <c r="Z131" s="96">
        <f t="shared" si="16"/>
        <v>1</v>
      </c>
      <c r="AA131" s="2"/>
      <c r="AB131" s="51"/>
      <c r="AC131" s="98" t="s">
        <v>30</v>
      </c>
      <c r="AD131" s="99"/>
      <c r="AE131" s="96" t="b">
        <f t="shared" si="17"/>
        <v>1</v>
      </c>
      <c r="AF131" s="96" t="str">
        <f t="shared" si="18"/>
        <v>DRAW</v>
      </c>
      <c r="AG131" s="96">
        <f t="shared" si="19"/>
        <v>1</v>
      </c>
      <c r="AH131" s="45"/>
    </row>
    <row r="132" spans="1:34" x14ac:dyDescent="0.3">
      <c r="A132" s="109"/>
      <c r="B132" s="110"/>
      <c r="C132" s="111"/>
      <c r="D132" s="112"/>
      <c r="E132" s="113"/>
      <c r="F132" s="114" t="s">
        <v>30</v>
      </c>
      <c r="G132" s="115"/>
      <c r="H132" s="2"/>
      <c r="I132" s="94"/>
      <c r="J132" s="92" t="s">
        <v>30</v>
      </c>
      <c r="K132" s="95"/>
      <c r="L132" s="90" t="str">
        <f t="shared" si="10"/>
        <v>DRAW</v>
      </c>
      <c r="M132" s="43"/>
      <c r="N132" s="94"/>
      <c r="O132" s="92" t="s">
        <v>30</v>
      </c>
      <c r="P132" s="95"/>
      <c r="Q132" s="90" t="b">
        <f t="shared" si="11"/>
        <v>1</v>
      </c>
      <c r="R132" s="90" t="str">
        <f t="shared" si="12"/>
        <v>DRAW</v>
      </c>
      <c r="S132" s="90">
        <f t="shared" si="13"/>
        <v>1</v>
      </c>
      <c r="T132" s="2"/>
      <c r="U132" s="94"/>
      <c r="V132" s="92" t="s">
        <v>30</v>
      </c>
      <c r="W132" s="95"/>
      <c r="X132" s="90" t="b">
        <f t="shared" si="14"/>
        <v>1</v>
      </c>
      <c r="Y132" s="90" t="str">
        <f t="shared" si="15"/>
        <v>DRAW</v>
      </c>
      <c r="Z132" s="90">
        <f t="shared" si="16"/>
        <v>1</v>
      </c>
      <c r="AA132" s="2"/>
      <c r="AB132" s="94"/>
      <c r="AC132" s="92" t="s">
        <v>30</v>
      </c>
      <c r="AD132" s="95"/>
      <c r="AE132" s="90" t="b">
        <f t="shared" si="17"/>
        <v>1</v>
      </c>
      <c r="AF132" s="90" t="str">
        <f t="shared" si="18"/>
        <v>DRAW</v>
      </c>
      <c r="AG132" s="90">
        <f t="shared" si="19"/>
        <v>1</v>
      </c>
      <c r="AH132" s="45"/>
    </row>
    <row r="133" spans="1:34" x14ac:dyDescent="0.3">
      <c r="A133" s="35"/>
      <c r="B133" s="36"/>
      <c r="C133" s="111"/>
      <c r="D133" s="116"/>
      <c r="E133" s="117"/>
      <c r="F133" s="118" t="s">
        <v>30</v>
      </c>
      <c r="G133" s="119"/>
      <c r="H133" s="2"/>
      <c r="I133" s="47"/>
      <c r="J133" s="88" t="s">
        <v>30</v>
      </c>
      <c r="K133" s="89"/>
      <c r="L133" s="37" t="str">
        <f t="shared" si="10"/>
        <v>DRAW</v>
      </c>
      <c r="M133" s="43"/>
      <c r="N133" s="47"/>
      <c r="O133" s="88" t="s">
        <v>30</v>
      </c>
      <c r="P133" s="89"/>
      <c r="Q133" s="37" t="b">
        <f t="shared" si="11"/>
        <v>1</v>
      </c>
      <c r="R133" s="37" t="str">
        <f t="shared" si="12"/>
        <v>DRAW</v>
      </c>
      <c r="S133" s="37">
        <f t="shared" si="13"/>
        <v>1</v>
      </c>
      <c r="T133" s="2"/>
      <c r="U133" s="47"/>
      <c r="V133" s="88" t="s">
        <v>30</v>
      </c>
      <c r="W133" s="89"/>
      <c r="X133" s="37" t="b">
        <f t="shared" si="14"/>
        <v>1</v>
      </c>
      <c r="Y133" s="37" t="str">
        <f t="shared" si="15"/>
        <v>DRAW</v>
      </c>
      <c r="Z133" s="37">
        <f t="shared" si="16"/>
        <v>1</v>
      </c>
      <c r="AA133" s="2"/>
      <c r="AB133" s="47"/>
      <c r="AC133" s="88" t="s">
        <v>30</v>
      </c>
      <c r="AD133" s="89"/>
      <c r="AE133" s="37" t="b">
        <f t="shared" si="17"/>
        <v>1</v>
      </c>
      <c r="AF133" s="37" t="str">
        <f t="shared" si="18"/>
        <v>DRAW</v>
      </c>
      <c r="AG133" s="37">
        <f t="shared" si="19"/>
        <v>1</v>
      </c>
      <c r="AH133" s="45"/>
    </row>
    <row r="134" spans="1:34" x14ac:dyDescent="0.3">
      <c r="A134" s="120">
        <v>46209</v>
      </c>
      <c r="B134" s="121">
        <v>0.125</v>
      </c>
      <c r="C134" s="111"/>
      <c r="D134" s="96" t="s">
        <v>102</v>
      </c>
      <c r="E134" s="97"/>
      <c r="F134" s="98" t="s">
        <v>30</v>
      </c>
      <c r="G134" s="52"/>
      <c r="H134" s="2"/>
      <c r="I134" s="51"/>
      <c r="J134" s="98" t="s">
        <v>30</v>
      </c>
      <c r="K134" s="99"/>
      <c r="L134" s="96" t="str">
        <f t="shared" si="10"/>
        <v>DRAW</v>
      </c>
      <c r="M134" s="43"/>
      <c r="N134" s="51"/>
      <c r="O134" s="98" t="s">
        <v>30</v>
      </c>
      <c r="P134" s="99"/>
      <c r="Q134" s="96" t="b">
        <f t="shared" si="11"/>
        <v>1</v>
      </c>
      <c r="R134" s="96" t="str">
        <f t="shared" si="12"/>
        <v>DRAW</v>
      </c>
      <c r="S134" s="96">
        <f t="shared" si="13"/>
        <v>1</v>
      </c>
      <c r="T134" s="2"/>
      <c r="U134" s="51"/>
      <c r="V134" s="98" t="s">
        <v>30</v>
      </c>
      <c r="W134" s="99"/>
      <c r="X134" s="96" t="b">
        <f t="shared" si="14"/>
        <v>1</v>
      </c>
      <c r="Y134" s="96" t="str">
        <f t="shared" si="15"/>
        <v>DRAW</v>
      </c>
      <c r="Z134" s="96">
        <f t="shared" si="16"/>
        <v>1</v>
      </c>
      <c r="AA134" s="2"/>
      <c r="AB134" s="51"/>
      <c r="AC134" s="98" t="s">
        <v>30</v>
      </c>
      <c r="AD134" s="99"/>
      <c r="AE134" s="96" t="b">
        <f t="shared" si="17"/>
        <v>1</v>
      </c>
      <c r="AF134" s="96" t="str">
        <f t="shared" si="18"/>
        <v>DRAW</v>
      </c>
      <c r="AG134" s="96">
        <f t="shared" si="19"/>
        <v>1</v>
      </c>
      <c r="AH134" s="45"/>
    </row>
    <row r="135" spans="1:34" x14ac:dyDescent="0.3">
      <c r="A135" s="109"/>
      <c r="B135" s="110"/>
      <c r="C135" s="111"/>
      <c r="D135" s="112"/>
      <c r="E135" s="113"/>
      <c r="F135" s="114" t="s">
        <v>30</v>
      </c>
      <c r="G135" s="115"/>
      <c r="H135" s="2"/>
      <c r="I135" s="94"/>
      <c r="J135" s="92" t="s">
        <v>30</v>
      </c>
      <c r="K135" s="95"/>
      <c r="L135" s="90" t="str">
        <f t="shared" ref="L135:L198" si="20">IF(I135&gt;K135,E135,IF(K135&gt;I135,G135,"DRAW"))</f>
        <v>DRAW</v>
      </c>
      <c r="M135" s="43"/>
      <c r="N135" s="94"/>
      <c r="O135" s="92" t="s">
        <v>30</v>
      </c>
      <c r="P135" s="95"/>
      <c r="Q135" s="90" t="b">
        <f t="shared" ref="Q135:Q198" si="21">AND(N135=$I135,P135=$K135)</f>
        <v>1</v>
      </c>
      <c r="R135" s="90" t="str">
        <f t="shared" ref="R135:R198" si="22">IF(N135&gt;P135,$E135,IF(P135&gt;N135,$G135,"DRAW"))</f>
        <v>DRAW</v>
      </c>
      <c r="S135" s="90">
        <f t="shared" ref="S135:S198" si="23">IF(R135=$L135,1,0)</f>
        <v>1</v>
      </c>
      <c r="T135" s="2"/>
      <c r="U135" s="94"/>
      <c r="V135" s="92" t="s">
        <v>30</v>
      </c>
      <c r="W135" s="95"/>
      <c r="X135" s="90" t="b">
        <f t="shared" ref="X135:X198" si="24">AND(U135=$I135,W135=$K135)</f>
        <v>1</v>
      </c>
      <c r="Y135" s="90" t="str">
        <f t="shared" ref="Y135:Y198" si="25">IF(U135&gt;W135,$E135,IF(W135&gt;U135,$G135,"DRAW"))</f>
        <v>DRAW</v>
      </c>
      <c r="Z135" s="90">
        <f t="shared" ref="Z135:Z198" si="26">IF(Y135=$L135,1,0)</f>
        <v>1</v>
      </c>
      <c r="AA135" s="2"/>
      <c r="AB135" s="94"/>
      <c r="AC135" s="92" t="s">
        <v>30</v>
      </c>
      <c r="AD135" s="95"/>
      <c r="AE135" s="90" t="b">
        <f t="shared" ref="AE135:AE198" si="27">AND(AB135=$I135,AD135=$K135)</f>
        <v>1</v>
      </c>
      <c r="AF135" s="90" t="str">
        <f t="shared" ref="AF135:AF198" si="28">IF(AB135&gt;AD135,$E135,IF(AD135&gt;AB135,$G135,"DRAW"))</f>
        <v>DRAW</v>
      </c>
      <c r="AG135" s="90">
        <f t="shared" ref="AG135:AG198" si="29">IF(AF135=$L135,1,0)</f>
        <v>1</v>
      </c>
      <c r="AH135" s="45"/>
    </row>
    <row r="136" spans="1:34" x14ac:dyDescent="0.3">
      <c r="A136" s="35"/>
      <c r="B136" s="36"/>
      <c r="C136" s="111"/>
      <c r="D136" s="116"/>
      <c r="E136" s="117"/>
      <c r="F136" s="118" t="s">
        <v>30</v>
      </c>
      <c r="G136" s="119"/>
      <c r="H136" s="2"/>
      <c r="I136" s="47"/>
      <c r="J136" s="88" t="s">
        <v>30</v>
      </c>
      <c r="K136" s="89"/>
      <c r="L136" s="37" t="str">
        <f t="shared" si="20"/>
        <v>DRAW</v>
      </c>
      <c r="M136" s="43"/>
      <c r="N136" s="47"/>
      <c r="O136" s="88" t="s">
        <v>30</v>
      </c>
      <c r="P136" s="89"/>
      <c r="Q136" s="37" t="b">
        <f t="shared" si="21"/>
        <v>1</v>
      </c>
      <c r="R136" s="37" t="str">
        <f t="shared" si="22"/>
        <v>DRAW</v>
      </c>
      <c r="S136" s="37">
        <f t="shared" si="23"/>
        <v>1</v>
      </c>
      <c r="T136" s="2"/>
      <c r="U136" s="47"/>
      <c r="V136" s="88" t="s">
        <v>30</v>
      </c>
      <c r="W136" s="89"/>
      <c r="X136" s="37" t="b">
        <f t="shared" si="24"/>
        <v>1</v>
      </c>
      <c r="Y136" s="37" t="str">
        <f t="shared" si="25"/>
        <v>DRAW</v>
      </c>
      <c r="Z136" s="37">
        <f t="shared" si="26"/>
        <v>1</v>
      </c>
      <c r="AA136" s="2"/>
      <c r="AB136" s="47"/>
      <c r="AC136" s="88" t="s">
        <v>30</v>
      </c>
      <c r="AD136" s="89"/>
      <c r="AE136" s="37" t="b">
        <f t="shared" si="27"/>
        <v>1</v>
      </c>
      <c r="AF136" s="37" t="str">
        <f t="shared" si="28"/>
        <v>DRAW</v>
      </c>
      <c r="AG136" s="37">
        <f t="shared" si="29"/>
        <v>1</v>
      </c>
      <c r="AH136" s="45"/>
    </row>
    <row r="137" spans="1:34" x14ac:dyDescent="0.3">
      <c r="A137" s="120">
        <v>46209</v>
      </c>
      <c r="B137" s="121">
        <v>0.91666666666666663</v>
      </c>
      <c r="C137" s="111"/>
      <c r="D137" s="96" t="s">
        <v>102</v>
      </c>
      <c r="E137" s="97"/>
      <c r="F137" s="98" t="s">
        <v>30</v>
      </c>
      <c r="G137" s="52"/>
      <c r="H137" s="2"/>
      <c r="I137" s="51"/>
      <c r="J137" s="98" t="s">
        <v>30</v>
      </c>
      <c r="K137" s="99"/>
      <c r="L137" s="96" t="str">
        <f t="shared" si="20"/>
        <v>DRAW</v>
      </c>
      <c r="M137" s="43"/>
      <c r="N137" s="51"/>
      <c r="O137" s="98" t="s">
        <v>30</v>
      </c>
      <c r="P137" s="99"/>
      <c r="Q137" s="96" t="b">
        <f t="shared" si="21"/>
        <v>1</v>
      </c>
      <c r="R137" s="96" t="str">
        <f t="shared" si="22"/>
        <v>DRAW</v>
      </c>
      <c r="S137" s="96">
        <f t="shared" si="23"/>
        <v>1</v>
      </c>
      <c r="T137" s="2"/>
      <c r="U137" s="51"/>
      <c r="V137" s="98" t="s">
        <v>30</v>
      </c>
      <c r="W137" s="99"/>
      <c r="X137" s="96" t="b">
        <f t="shared" si="24"/>
        <v>1</v>
      </c>
      <c r="Y137" s="96" t="str">
        <f t="shared" si="25"/>
        <v>DRAW</v>
      </c>
      <c r="Z137" s="96">
        <f t="shared" si="26"/>
        <v>1</v>
      </c>
      <c r="AA137" s="2"/>
      <c r="AB137" s="51"/>
      <c r="AC137" s="98" t="s">
        <v>30</v>
      </c>
      <c r="AD137" s="99"/>
      <c r="AE137" s="96" t="b">
        <f t="shared" si="27"/>
        <v>1</v>
      </c>
      <c r="AF137" s="96" t="str">
        <f t="shared" si="28"/>
        <v>DRAW</v>
      </c>
      <c r="AG137" s="96">
        <f t="shared" si="29"/>
        <v>1</v>
      </c>
      <c r="AH137" s="45"/>
    </row>
    <row r="138" spans="1:34" x14ac:dyDescent="0.3">
      <c r="A138" s="109"/>
      <c r="B138" s="110"/>
      <c r="C138" s="111"/>
      <c r="D138" s="112"/>
      <c r="E138" s="113"/>
      <c r="F138" s="114" t="s">
        <v>30</v>
      </c>
      <c r="G138" s="115"/>
      <c r="H138" s="2"/>
      <c r="I138" s="94"/>
      <c r="J138" s="92" t="s">
        <v>30</v>
      </c>
      <c r="K138" s="95"/>
      <c r="L138" s="90" t="str">
        <f t="shared" si="20"/>
        <v>DRAW</v>
      </c>
      <c r="M138" s="43"/>
      <c r="N138" s="94"/>
      <c r="O138" s="92" t="s">
        <v>30</v>
      </c>
      <c r="P138" s="95"/>
      <c r="Q138" s="90" t="b">
        <f t="shared" si="21"/>
        <v>1</v>
      </c>
      <c r="R138" s="90" t="str">
        <f t="shared" si="22"/>
        <v>DRAW</v>
      </c>
      <c r="S138" s="90">
        <f t="shared" si="23"/>
        <v>1</v>
      </c>
      <c r="T138" s="2"/>
      <c r="U138" s="94"/>
      <c r="V138" s="92" t="s">
        <v>30</v>
      </c>
      <c r="W138" s="95"/>
      <c r="X138" s="90" t="b">
        <f t="shared" si="24"/>
        <v>1</v>
      </c>
      <c r="Y138" s="90" t="str">
        <f t="shared" si="25"/>
        <v>DRAW</v>
      </c>
      <c r="Z138" s="90">
        <f t="shared" si="26"/>
        <v>1</v>
      </c>
      <c r="AA138" s="2"/>
      <c r="AB138" s="94"/>
      <c r="AC138" s="92" t="s">
        <v>30</v>
      </c>
      <c r="AD138" s="95"/>
      <c r="AE138" s="90" t="b">
        <f t="shared" si="27"/>
        <v>1</v>
      </c>
      <c r="AF138" s="90" t="str">
        <f t="shared" si="28"/>
        <v>DRAW</v>
      </c>
      <c r="AG138" s="90">
        <f t="shared" si="29"/>
        <v>1</v>
      </c>
      <c r="AH138" s="45"/>
    </row>
    <row r="139" spans="1:34" x14ac:dyDescent="0.3">
      <c r="A139" s="35"/>
      <c r="B139" s="36"/>
      <c r="C139" s="111"/>
      <c r="D139" s="116"/>
      <c r="E139" s="117"/>
      <c r="F139" s="118" t="s">
        <v>30</v>
      </c>
      <c r="G139" s="119"/>
      <c r="H139" s="2"/>
      <c r="I139" s="47"/>
      <c r="J139" s="88" t="s">
        <v>30</v>
      </c>
      <c r="K139" s="89"/>
      <c r="L139" s="37" t="str">
        <f t="shared" si="20"/>
        <v>DRAW</v>
      </c>
      <c r="M139" s="43"/>
      <c r="N139" s="47"/>
      <c r="O139" s="88" t="s">
        <v>30</v>
      </c>
      <c r="P139" s="89"/>
      <c r="Q139" s="37" t="b">
        <f t="shared" si="21"/>
        <v>1</v>
      </c>
      <c r="R139" s="37" t="str">
        <f t="shared" si="22"/>
        <v>DRAW</v>
      </c>
      <c r="S139" s="37">
        <f t="shared" si="23"/>
        <v>1</v>
      </c>
      <c r="T139" s="2"/>
      <c r="U139" s="47"/>
      <c r="V139" s="88" t="s">
        <v>30</v>
      </c>
      <c r="W139" s="89"/>
      <c r="X139" s="37" t="b">
        <f t="shared" si="24"/>
        <v>1</v>
      </c>
      <c r="Y139" s="37" t="str">
        <f t="shared" si="25"/>
        <v>DRAW</v>
      </c>
      <c r="Z139" s="37">
        <f t="shared" si="26"/>
        <v>1</v>
      </c>
      <c r="AA139" s="2"/>
      <c r="AB139" s="47"/>
      <c r="AC139" s="88" t="s">
        <v>30</v>
      </c>
      <c r="AD139" s="89"/>
      <c r="AE139" s="37" t="b">
        <f t="shared" si="27"/>
        <v>1</v>
      </c>
      <c r="AF139" s="37" t="str">
        <f t="shared" si="28"/>
        <v>DRAW</v>
      </c>
      <c r="AG139" s="37">
        <f t="shared" si="29"/>
        <v>1</v>
      </c>
      <c r="AH139" s="45"/>
    </row>
    <row r="140" spans="1:34" x14ac:dyDescent="0.3">
      <c r="A140" s="120">
        <v>46210</v>
      </c>
      <c r="B140" s="121">
        <v>0.125</v>
      </c>
      <c r="C140" s="111"/>
      <c r="D140" s="96" t="s">
        <v>102</v>
      </c>
      <c r="E140" s="97"/>
      <c r="F140" s="98" t="s">
        <v>30</v>
      </c>
      <c r="G140" s="52"/>
      <c r="H140" s="2"/>
      <c r="I140" s="51"/>
      <c r="J140" s="98" t="s">
        <v>30</v>
      </c>
      <c r="K140" s="99"/>
      <c r="L140" s="96" t="str">
        <f t="shared" si="20"/>
        <v>DRAW</v>
      </c>
      <c r="M140" s="43"/>
      <c r="N140" s="51"/>
      <c r="O140" s="98" t="s">
        <v>30</v>
      </c>
      <c r="P140" s="99"/>
      <c r="Q140" s="96" t="b">
        <f t="shared" si="21"/>
        <v>1</v>
      </c>
      <c r="R140" s="96" t="str">
        <f t="shared" si="22"/>
        <v>DRAW</v>
      </c>
      <c r="S140" s="96">
        <f t="shared" si="23"/>
        <v>1</v>
      </c>
      <c r="T140" s="2"/>
      <c r="U140" s="51"/>
      <c r="V140" s="98" t="s">
        <v>30</v>
      </c>
      <c r="W140" s="99"/>
      <c r="X140" s="96" t="b">
        <f t="shared" si="24"/>
        <v>1</v>
      </c>
      <c r="Y140" s="96" t="str">
        <f t="shared" si="25"/>
        <v>DRAW</v>
      </c>
      <c r="Z140" s="96">
        <f t="shared" si="26"/>
        <v>1</v>
      </c>
      <c r="AA140" s="2"/>
      <c r="AB140" s="51"/>
      <c r="AC140" s="98" t="s">
        <v>30</v>
      </c>
      <c r="AD140" s="99"/>
      <c r="AE140" s="96" t="b">
        <f t="shared" si="27"/>
        <v>1</v>
      </c>
      <c r="AF140" s="96" t="str">
        <f t="shared" si="28"/>
        <v>DRAW</v>
      </c>
      <c r="AG140" s="96">
        <f t="shared" si="29"/>
        <v>1</v>
      </c>
      <c r="AH140" s="45"/>
    </row>
    <row r="141" spans="1:34" x14ac:dyDescent="0.3">
      <c r="A141" s="109"/>
      <c r="B141" s="110"/>
      <c r="C141" s="111"/>
      <c r="D141" s="112"/>
      <c r="E141" s="113"/>
      <c r="F141" s="114" t="s">
        <v>30</v>
      </c>
      <c r="G141" s="115"/>
      <c r="H141" s="2"/>
      <c r="I141" s="94"/>
      <c r="J141" s="92" t="s">
        <v>30</v>
      </c>
      <c r="K141" s="95"/>
      <c r="L141" s="90" t="str">
        <f t="shared" si="20"/>
        <v>DRAW</v>
      </c>
      <c r="M141" s="43"/>
      <c r="N141" s="94"/>
      <c r="O141" s="92" t="s">
        <v>30</v>
      </c>
      <c r="P141" s="95"/>
      <c r="Q141" s="90" t="b">
        <f t="shared" si="21"/>
        <v>1</v>
      </c>
      <c r="R141" s="90" t="str">
        <f t="shared" si="22"/>
        <v>DRAW</v>
      </c>
      <c r="S141" s="90">
        <f t="shared" si="23"/>
        <v>1</v>
      </c>
      <c r="T141" s="2"/>
      <c r="U141" s="94"/>
      <c r="V141" s="92" t="s">
        <v>30</v>
      </c>
      <c r="W141" s="95"/>
      <c r="X141" s="90" t="b">
        <f t="shared" si="24"/>
        <v>1</v>
      </c>
      <c r="Y141" s="90" t="str">
        <f t="shared" si="25"/>
        <v>DRAW</v>
      </c>
      <c r="Z141" s="90">
        <f t="shared" si="26"/>
        <v>1</v>
      </c>
      <c r="AA141" s="2"/>
      <c r="AB141" s="94"/>
      <c r="AC141" s="92" t="s">
        <v>30</v>
      </c>
      <c r="AD141" s="95"/>
      <c r="AE141" s="90" t="b">
        <f t="shared" si="27"/>
        <v>1</v>
      </c>
      <c r="AF141" s="90" t="str">
        <f t="shared" si="28"/>
        <v>DRAW</v>
      </c>
      <c r="AG141" s="90">
        <f t="shared" si="29"/>
        <v>1</v>
      </c>
      <c r="AH141" s="45"/>
    </row>
    <row r="142" spans="1:34" x14ac:dyDescent="0.3">
      <c r="A142" s="35"/>
      <c r="B142" s="36"/>
      <c r="C142" s="111"/>
      <c r="D142" s="116"/>
      <c r="E142" s="117"/>
      <c r="F142" s="118" t="s">
        <v>30</v>
      </c>
      <c r="G142" s="119"/>
      <c r="H142" s="2"/>
      <c r="I142" s="47"/>
      <c r="J142" s="88" t="s">
        <v>30</v>
      </c>
      <c r="K142" s="89"/>
      <c r="L142" s="37" t="str">
        <f t="shared" si="20"/>
        <v>DRAW</v>
      </c>
      <c r="M142" s="43"/>
      <c r="N142" s="47"/>
      <c r="O142" s="88" t="s">
        <v>30</v>
      </c>
      <c r="P142" s="89"/>
      <c r="Q142" s="37" t="b">
        <f t="shared" si="21"/>
        <v>1</v>
      </c>
      <c r="R142" s="37" t="str">
        <f t="shared" si="22"/>
        <v>DRAW</v>
      </c>
      <c r="S142" s="37">
        <f t="shared" si="23"/>
        <v>1</v>
      </c>
      <c r="T142" s="2"/>
      <c r="U142" s="47"/>
      <c r="V142" s="88" t="s">
        <v>30</v>
      </c>
      <c r="W142" s="89"/>
      <c r="X142" s="37" t="b">
        <f t="shared" si="24"/>
        <v>1</v>
      </c>
      <c r="Y142" s="37" t="str">
        <f t="shared" si="25"/>
        <v>DRAW</v>
      </c>
      <c r="Z142" s="37">
        <f t="shared" si="26"/>
        <v>1</v>
      </c>
      <c r="AA142" s="2"/>
      <c r="AB142" s="47"/>
      <c r="AC142" s="88" t="s">
        <v>30</v>
      </c>
      <c r="AD142" s="89"/>
      <c r="AE142" s="37" t="b">
        <f t="shared" si="27"/>
        <v>1</v>
      </c>
      <c r="AF142" s="37" t="str">
        <f t="shared" si="28"/>
        <v>DRAW</v>
      </c>
      <c r="AG142" s="37">
        <f t="shared" si="29"/>
        <v>1</v>
      </c>
      <c r="AH142" s="45"/>
    </row>
    <row r="143" spans="1:34" x14ac:dyDescent="0.3">
      <c r="A143" s="120">
        <v>46210</v>
      </c>
      <c r="B143" s="121">
        <v>0.79166666666666663</v>
      </c>
      <c r="C143" s="111"/>
      <c r="D143" s="96" t="s">
        <v>102</v>
      </c>
      <c r="E143" s="97"/>
      <c r="F143" s="98" t="s">
        <v>30</v>
      </c>
      <c r="G143" s="52"/>
      <c r="H143" s="2"/>
      <c r="I143" s="51"/>
      <c r="J143" s="98" t="s">
        <v>30</v>
      </c>
      <c r="K143" s="99"/>
      <c r="L143" s="96" t="str">
        <f t="shared" si="20"/>
        <v>DRAW</v>
      </c>
      <c r="M143" s="43"/>
      <c r="N143" s="51"/>
      <c r="O143" s="98" t="s">
        <v>30</v>
      </c>
      <c r="P143" s="99"/>
      <c r="Q143" s="96" t="b">
        <f t="shared" si="21"/>
        <v>1</v>
      </c>
      <c r="R143" s="96" t="str">
        <f t="shared" si="22"/>
        <v>DRAW</v>
      </c>
      <c r="S143" s="96">
        <f t="shared" si="23"/>
        <v>1</v>
      </c>
      <c r="T143" s="2"/>
      <c r="U143" s="51"/>
      <c r="V143" s="98" t="s">
        <v>30</v>
      </c>
      <c r="W143" s="99"/>
      <c r="X143" s="96" t="b">
        <f t="shared" si="24"/>
        <v>1</v>
      </c>
      <c r="Y143" s="96" t="str">
        <f t="shared" si="25"/>
        <v>DRAW</v>
      </c>
      <c r="Z143" s="96">
        <f t="shared" si="26"/>
        <v>1</v>
      </c>
      <c r="AA143" s="2"/>
      <c r="AB143" s="51"/>
      <c r="AC143" s="98" t="s">
        <v>30</v>
      </c>
      <c r="AD143" s="99"/>
      <c r="AE143" s="96" t="b">
        <f t="shared" si="27"/>
        <v>1</v>
      </c>
      <c r="AF143" s="96" t="str">
        <f t="shared" si="28"/>
        <v>DRAW</v>
      </c>
      <c r="AG143" s="96">
        <f t="shared" si="29"/>
        <v>1</v>
      </c>
      <c r="AH143" s="45"/>
    </row>
    <row r="144" spans="1:34" x14ac:dyDescent="0.3">
      <c r="A144" s="109"/>
      <c r="B144" s="110"/>
      <c r="C144" s="111"/>
      <c r="D144" s="112"/>
      <c r="E144" s="113"/>
      <c r="F144" s="114" t="s">
        <v>30</v>
      </c>
      <c r="G144" s="115"/>
      <c r="H144" s="2"/>
      <c r="I144" s="94"/>
      <c r="J144" s="92" t="s">
        <v>30</v>
      </c>
      <c r="K144" s="95"/>
      <c r="L144" s="90" t="str">
        <f t="shared" si="20"/>
        <v>DRAW</v>
      </c>
      <c r="M144" s="43"/>
      <c r="N144" s="94"/>
      <c r="O144" s="92" t="s">
        <v>30</v>
      </c>
      <c r="P144" s="95"/>
      <c r="Q144" s="90" t="b">
        <f t="shared" si="21"/>
        <v>1</v>
      </c>
      <c r="R144" s="90" t="str">
        <f t="shared" si="22"/>
        <v>DRAW</v>
      </c>
      <c r="S144" s="90">
        <f t="shared" si="23"/>
        <v>1</v>
      </c>
      <c r="T144" s="2"/>
      <c r="U144" s="94"/>
      <c r="V144" s="92" t="s">
        <v>30</v>
      </c>
      <c r="W144" s="95"/>
      <c r="X144" s="90" t="b">
        <f t="shared" si="24"/>
        <v>1</v>
      </c>
      <c r="Y144" s="90" t="str">
        <f t="shared" si="25"/>
        <v>DRAW</v>
      </c>
      <c r="Z144" s="90">
        <f t="shared" si="26"/>
        <v>1</v>
      </c>
      <c r="AA144" s="2"/>
      <c r="AB144" s="94"/>
      <c r="AC144" s="92" t="s">
        <v>30</v>
      </c>
      <c r="AD144" s="95"/>
      <c r="AE144" s="90" t="b">
        <f t="shared" si="27"/>
        <v>1</v>
      </c>
      <c r="AF144" s="90" t="str">
        <f t="shared" si="28"/>
        <v>DRAW</v>
      </c>
      <c r="AG144" s="90">
        <f t="shared" si="29"/>
        <v>1</v>
      </c>
      <c r="AH144" s="45"/>
    </row>
    <row r="145" spans="1:34" x14ac:dyDescent="0.3">
      <c r="A145" s="35"/>
      <c r="B145" s="36"/>
      <c r="C145" s="111"/>
      <c r="D145" s="116"/>
      <c r="E145" s="117"/>
      <c r="F145" s="118" t="s">
        <v>30</v>
      </c>
      <c r="G145" s="119"/>
      <c r="H145" s="2"/>
      <c r="I145" s="47"/>
      <c r="J145" s="88" t="s">
        <v>30</v>
      </c>
      <c r="K145" s="89"/>
      <c r="L145" s="37" t="str">
        <f t="shared" si="20"/>
        <v>DRAW</v>
      </c>
      <c r="M145" s="43"/>
      <c r="N145" s="47"/>
      <c r="O145" s="88" t="s">
        <v>30</v>
      </c>
      <c r="P145" s="89"/>
      <c r="Q145" s="37" t="b">
        <f t="shared" si="21"/>
        <v>1</v>
      </c>
      <c r="R145" s="37" t="str">
        <f t="shared" si="22"/>
        <v>DRAW</v>
      </c>
      <c r="S145" s="37">
        <f t="shared" si="23"/>
        <v>1</v>
      </c>
      <c r="T145" s="2"/>
      <c r="U145" s="47"/>
      <c r="V145" s="88" t="s">
        <v>30</v>
      </c>
      <c r="W145" s="89"/>
      <c r="X145" s="37" t="b">
        <f t="shared" si="24"/>
        <v>1</v>
      </c>
      <c r="Y145" s="37" t="str">
        <f t="shared" si="25"/>
        <v>DRAW</v>
      </c>
      <c r="Z145" s="37">
        <f t="shared" si="26"/>
        <v>1</v>
      </c>
      <c r="AA145" s="2"/>
      <c r="AB145" s="47"/>
      <c r="AC145" s="88" t="s">
        <v>30</v>
      </c>
      <c r="AD145" s="89"/>
      <c r="AE145" s="37" t="b">
        <f t="shared" si="27"/>
        <v>1</v>
      </c>
      <c r="AF145" s="37" t="str">
        <f t="shared" si="28"/>
        <v>DRAW</v>
      </c>
      <c r="AG145" s="37">
        <f t="shared" si="29"/>
        <v>1</v>
      </c>
      <c r="AH145" s="45"/>
    </row>
    <row r="146" spans="1:34" x14ac:dyDescent="0.3">
      <c r="A146" s="120">
        <v>46210</v>
      </c>
      <c r="B146" s="121">
        <v>0.95833333333333337</v>
      </c>
      <c r="C146" s="111"/>
      <c r="D146" s="96" t="s">
        <v>102</v>
      </c>
      <c r="E146" s="97"/>
      <c r="F146" s="98" t="s">
        <v>30</v>
      </c>
      <c r="G146" s="52"/>
      <c r="H146" s="2"/>
      <c r="I146" s="51"/>
      <c r="J146" s="98" t="s">
        <v>30</v>
      </c>
      <c r="K146" s="99"/>
      <c r="L146" s="96" t="str">
        <f t="shared" si="20"/>
        <v>DRAW</v>
      </c>
      <c r="M146" s="43"/>
      <c r="N146" s="51"/>
      <c r="O146" s="98" t="s">
        <v>30</v>
      </c>
      <c r="P146" s="99"/>
      <c r="Q146" s="96" t="b">
        <f t="shared" si="21"/>
        <v>1</v>
      </c>
      <c r="R146" s="96" t="str">
        <f t="shared" si="22"/>
        <v>DRAW</v>
      </c>
      <c r="S146" s="96">
        <f t="shared" si="23"/>
        <v>1</v>
      </c>
      <c r="T146" s="2"/>
      <c r="U146" s="51"/>
      <c r="V146" s="98" t="s">
        <v>30</v>
      </c>
      <c r="W146" s="99"/>
      <c r="X146" s="96" t="b">
        <f t="shared" si="24"/>
        <v>1</v>
      </c>
      <c r="Y146" s="96" t="str">
        <f t="shared" si="25"/>
        <v>DRAW</v>
      </c>
      <c r="Z146" s="96">
        <f t="shared" si="26"/>
        <v>1</v>
      </c>
      <c r="AA146" s="2"/>
      <c r="AB146" s="51"/>
      <c r="AC146" s="98" t="s">
        <v>30</v>
      </c>
      <c r="AD146" s="99"/>
      <c r="AE146" s="96" t="b">
        <f t="shared" si="27"/>
        <v>1</v>
      </c>
      <c r="AF146" s="96" t="str">
        <f t="shared" si="28"/>
        <v>DRAW</v>
      </c>
      <c r="AG146" s="96">
        <f t="shared" si="29"/>
        <v>1</v>
      </c>
      <c r="AH146" s="45"/>
    </row>
    <row r="147" spans="1:34" x14ac:dyDescent="0.3">
      <c r="A147" s="109"/>
      <c r="B147" s="110"/>
      <c r="C147" s="111"/>
      <c r="D147" s="112"/>
      <c r="E147" s="113"/>
      <c r="F147" s="114" t="s">
        <v>30</v>
      </c>
      <c r="G147" s="115"/>
      <c r="H147" s="2"/>
      <c r="I147" s="94"/>
      <c r="J147" s="92" t="s">
        <v>30</v>
      </c>
      <c r="K147" s="95"/>
      <c r="L147" s="90" t="str">
        <f t="shared" si="20"/>
        <v>DRAW</v>
      </c>
      <c r="M147" s="43"/>
      <c r="N147" s="94"/>
      <c r="O147" s="92" t="s">
        <v>30</v>
      </c>
      <c r="P147" s="95"/>
      <c r="Q147" s="90" t="b">
        <f t="shared" si="21"/>
        <v>1</v>
      </c>
      <c r="R147" s="90" t="str">
        <f t="shared" si="22"/>
        <v>DRAW</v>
      </c>
      <c r="S147" s="90">
        <f t="shared" si="23"/>
        <v>1</v>
      </c>
      <c r="T147" s="2"/>
      <c r="U147" s="94"/>
      <c r="V147" s="92" t="s">
        <v>30</v>
      </c>
      <c r="W147" s="95"/>
      <c r="X147" s="90" t="b">
        <f t="shared" si="24"/>
        <v>1</v>
      </c>
      <c r="Y147" s="90" t="str">
        <f t="shared" si="25"/>
        <v>DRAW</v>
      </c>
      <c r="Z147" s="90">
        <f t="shared" si="26"/>
        <v>1</v>
      </c>
      <c r="AA147" s="2"/>
      <c r="AB147" s="94"/>
      <c r="AC147" s="92" t="s">
        <v>30</v>
      </c>
      <c r="AD147" s="95"/>
      <c r="AE147" s="90" t="b">
        <f t="shared" si="27"/>
        <v>1</v>
      </c>
      <c r="AF147" s="90" t="str">
        <f t="shared" si="28"/>
        <v>DRAW</v>
      </c>
      <c r="AG147" s="90">
        <f t="shared" si="29"/>
        <v>1</v>
      </c>
      <c r="AH147" s="45"/>
    </row>
    <row r="148" spans="1:34" ht="14.95" thickBot="1" x14ac:dyDescent="0.35">
      <c r="A148" s="122"/>
      <c r="B148" s="123"/>
      <c r="C148" s="111"/>
      <c r="D148" s="124"/>
      <c r="E148" s="125"/>
      <c r="F148" s="126" t="s">
        <v>30</v>
      </c>
      <c r="G148" s="127"/>
      <c r="H148" s="2"/>
      <c r="I148" s="128"/>
      <c r="J148" s="129" t="s">
        <v>30</v>
      </c>
      <c r="K148" s="130"/>
      <c r="L148" s="131" t="str">
        <f t="shared" si="20"/>
        <v>DRAW</v>
      </c>
      <c r="M148" s="43"/>
      <c r="N148" s="128"/>
      <c r="O148" s="129" t="s">
        <v>30</v>
      </c>
      <c r="P148" s="130"/>
      <c r="Q148" s="131" t="b">
        <f t="shared" si="21"/>
        <v>1</v>
      </c>
      <c r="R148" s="131" t="str">
        <f t="shared" si="22"/>
        <v>DRAW</v>
      </c>
      <c r="S148" s="131">
        <f t="shared" si="23"/>
        <v>1</v>
      </c>
      <c r="T148" s="2"/>
      <c r="U148" s="128"/>
      <c r="V148" s="129" t="s">
        <v>30</v>
      </c>
      <c r="W148" s="130"/>
      <c r="X148" s="131" t="b">
        <f t="shared" si="24"/>
        <v>1</v>
      </c>
      <c r="Y148" s="131" t="str">
        <f t="shared" si="25"/>
        <v>DRAW</v>
      </c>
      <c r="Z148" s="131">
        <f t="shared" si="26"/>
        <v>1</v>
      </c>
      <c r="AA148" s="2"/>
      <c r="AB148" s="128"/>
      <c r="AC148" s="129" t="s">
        <v>30</v>
      </c>
      <c r="AD148" s="130"/>
      <c r="AE148" s="131" t="b">
        <f t="shared" si="27"/>
        <v>1</v>
      </c>
      <c r="AF148" s="131" t="str">
        <f t="shared" si="28"/>
        <v>DRAW</v>
      </c>
      <c r="AG148" s="131">
        <f t="shared" si="29"/>
        <v>1</v>
      </c>
      <c r="AH148" s="45"/>
    </row>
    <row r="149" spans="1:34" x14ac:dyDescent="0.3">
      <c r="A149" s="109">
        <v>46212</v>
      </c>
      <c r="B149" s="110">
        <v>0.95833333333333337</v>
      </c>
      <c r="C149" s="111"/>
      <c r="D149" s="90" t="s">
        <v>103</v>
      </c>
      <c r="E149" s="91"/>
      <c r="F149" s="92" t="s">
        <v>30</v>
      </c>
      <c r="G149" s="93"/>
      <c r="H149" s="2"/>
      <c r="I149" s="94"/>
      <c r="J149" s="92" t="s">
        <v>30</v>
      </c>
      <c r="K149" s="95"/>
      <c r="L149" s="90" t="str">
        <f t="shared" si="20"/>
        <v>DRAW</v>
      </c>
      <c r="M149" s="43"/>
      <c r="N149" s="94"/>
      <c r="O149" s="92" t="s">
        <v>30</v>
      </c>
      <c r="P149" s="95"/>
      <c r="Q149" s="90" t="b">
        <f t="shared" si="21"/>
        <v>1</v>
      </c>
      <c r="R149" s="90" t="str">
        <f t="shared" si="22"/>
        <v>DRAW</v>
      </c>
      <c r="S149" s="90">
        <f t="shared" si="23"/>
        <v>1</v>
      </c>
      <c r="T149" s="2"/>
      <c r="U149" s="94"/>
      <c r="V149" s="92" t="s">
        <v>30</v>
      </c>
      <c r="W149" s="95"/>
      <c r="X149" s="90" t="b">
        <f t="shared" si="24"/>
        <v>1</v>
      </c>
      <c r="Y149" s="90" t="str">
        <f t="shared" si="25"/>
        <v>DRAW</v>
      </c>
      <c r="Z149" s="90">
        <f t="shared" si="26"/>
        <v>1</v>
      </c>
      <c r="AA149" s="2"/>
      <c r="AB149" s="94"/>
      <c r="AC149" s="92" t="s">
        <v>30</v>
      </c>
      <c r="AD149" s="95"/>
      <c r="AE149" s="90" t="b">
        <f t="shared" si="27"/>
        <v>1</v>
      </c>
      <c r="AF149" s="90" t="str">
        <f t="shared" si="28"/>
        <v>DRAW</v>
      </c>
      <c r="AG149" s="90">
        <f t="shared" si="29"/>
        <v>1</v>
      </c>
      <c r="AH149" s="45"/>
    </row>
    <row r="150" spans="1:34" x14ac:dyDescent="0.3">
      <c r="A150" s="109"/>
      <c r="B150" s="110"/>
      <c r="C150" s="111"/>
      <c r="D150" s="112"/>
      <c r="E150" s="113"/>
      <c r="F150" s="114" t="s">
        <v>30</v>
      </c>
      <c r="G150" s="115"/>
      <c r="H150" s="2"/>
      <c r="I150" s="94"/>
      <c r="J150" s="92" t="s">
        <v>30</v>
      </c>
      <c r="K150" s="95"/>
      <c r="L150" s="90" t="str">
        <f t="shared" si="20"/>
        <v>DRAW</v>
      </c>
      <c r="M150" s="43"/>
      <c r="N150" s="94"/>
      <c r="O150" s="92" t="s">
        <v>30</v>
      </c>
      <c r="P150" s="95"/>
      <c r="Q150" s="90" t="b">
        <f t="shared" si="21"/>
        <v>1</v>
      </c>
      <c r="R150" s="90" t="str">
        <f t="shared" si="22"/>
        <v>DRAW</v>
      </c>
      <c r="S150" s="90">
        <f t="shared" si="23"/>
        <v>1</v>
      </c>
      <c r="T150" s="2"/>
      <c r="U150" s="94"/>
      <c r="V150" s="92" t="s">
        <v>30</v>
      </c>
      <c r="W150" s="95"/>
      <c r="X150" s="90" t="b">
        <f t="shared" si="24"/>
        <v>1</v>
      </c>
      <c r="Y150" s="90" t="str">
        <f t="shared" si="25"/>
        <v>DRAW</v>
      </c>
      <c r="Z150" s="90">
        <f t="shared" si="26"/>
        <v>1</v>
      </c>
      <c r="AA150" s="2"/>
      <c r="AB150" s="94"/>
      <c r="AC150" s="92" t="s">
        <v>30</v>
      </c>
      <c r="AD150" s="95"/>
      <c r="AE150" s="90" t="b">
        <f t="shared" si="27"/>
        <v>1</v>
      </c>
      <c r="AF150" s="90" t="str">
        <f t="shared" si="28"/>
        <v>DRAW</v>
      </c>
      <c r="AG150" s="90">
        <f t="shared" si="29"/>
        <v>1</v>
      </c>
      <c r="AH150" s="45"/>
    </row>
    <row r="151" spans="1:34" x14ac:dyDescent="0.3">
      <c r="A151" s="35"/>
      <c r="B151" s="36"/>
      <c r="C151" s="111"/>
      <c r="D151" s="116"/>
      <c r="E151" s="117"/>
      <c r="F151" s="118" t="s">
        <v>30</v>
      </c>
      <c r="G151" s="119"/>
      <c r="H151" s="2"/>
      <c r="I151" s="47"/>
      <c r="J151" s="88" t="s">
        <v>30</v>
      </c>
      <c r="K151" s="89"/>
      <c r="L151" s="37" t="str">
        <f t="shared" si="20"/>
        <v>DRAW</v>
      </c>
      <c r="M151" s="43"/>
      <c r="N151" s="47"/>
      <c r="O151" s="88" t="s">
        <v>30</v>
      </c>
      <c r="P151" s="89"/>
      <c r="Q151" s="37" t="b">
        <f t="shared" si="21"/>
        <v>1</v>
      </c>
      <c r="R151" s="37" t="str">
        <f t="shared" si="22"/>
        <v>DRAW</v>
      </c>
      <c r="S151" s="37">
        <f t="shared" si="23"/>
        <v>1</v>
      </c>
      <c r="T151" s="2"/>
      <c r="U151" s="47"/>
      <c r="V151" s="88" t="s">
        <v>30</v>
      </c>
      <c r="W151" s="89"/>
      <c r="X151" s="37" t="b">
        <f t="shared" si="24"/>
        <v>1</v>
      </c>
      <c r="Y151" s="37" t="str">
        <f t="shared" si="25"/>
        <v>DRAW</v>
      </c>
      <c r="Z151" s="37">
        <f t="shared" si="26"/>
        <v>1</v>
      </c>
      <c r="AA151" s="2"/>
      <c r="AB151" s="47"/>
      <c r="AC151" s="88" t="s">
        <v>30</v>
      </c>
      <c r="AD151" s="89"/>
      <c r="AE151" s="37" t="b">
        <f t="shared" si="27"/>
        <v>1</v>
      </c>
      <c r="AF151" s="37" t="str">
        <f t="shared" si="28"/>
        <v>DRAW</v>
      </c>
      <c r="AG151" s="37">
        <f t="shared" si="29"/>
        <v>1</v>
      </c>
      <c r="AH151" s="45"/>
    </row>
    <row r="152" spans="1:34" x14ac:dyDescent="0.3">
      <c r="A152" s="120">
        <v>46213</v>
      </c>
      <c r="B152" s="121">
        <v>0.91666666666666663</v>
      </c>
      <c r="C152" s="111"/>
      <c r="D152" s="96" t="s">
        <v>103</v>
      </c>
      <c r="E152" s="97"/>
      <c r="F152" s="98" t="s">
        <v>30</v>
      </c>
      <c r="G152" s="52"/>
      <c r="H152" s="2"/>
      <c r="I152" s="51"/>
      <c r="J152" s="98" t="s">
        <v>30</v>
      </c>
      <c r="K152" s="99"/>
      <c r="L152" s="96" t="str">
        <f t="shared" si="20"/>
        <v>DRAW</v>
      </c>
      <c r="M152" s="43"/>
      <c r="N152" s="51"/>
      <c r="O152" s="98" t="s">
        <v>30</v>
      </c>
      <c r="P152" s="99"/>
      <c r="Q152" s="96" t="b">
        <f t="shared" si="21"/>
        <v>1</v>
      </c>
      <c r="R152" s="96" t="str">
        <f t="shared" si="22"/>
        <v>DRAW</v>
      </c>
      <c r="S152" s="96">
        <f t="shared" si="23"/>
        <v>1</v>
      </c>
      <c r="T152" s="2"/>
      <c r="U152" s="51"/>
      <c r="V152" s="98" t="s">
        <v>30</v>
      </c>
      <c r="W152" s="99"/>
      <c r="X152" s="96" t="b">
        <f t="shared" si="24"/>
        <v>1</v>
      </c>
      <c r="Y152" s="96" t="str">
        <f t="shared" si="25"/>
        <v>DRAW</v>
      </c>
      <c r="Z152" s="96">
        <f t="shared" si="26"/>
        <v>1</v>
      </c>
      <c r="AA152" s="2"/>
      <c r="AB152" s="51"/>
      <c r="AC152" s="98" t="s">
        <v>30</v>
      </c>
      <c r="AD152" s="99"/>
      <c r="AE152" s="96" t="b">
        <f t="shared" si="27"/>
        <v>1</v>
      </c>
      <c r="AF152" s="96" t="str">
        <f t="shared" si="28"/>
        <v>DRAW</v>
      </c>
      <c r="AG152" s="96">
        <f t="shared" si="29"/>
        <v>1</v>
      </c>
      <c r="AH152" s="45"/>
    </row>
    <row r="153" spans="1:34" x14ac:dyDescent="0.3">
      <c r="A153" s="109"/>
      <c r="B153" s="110"/>
      <c r="C153" s="111"/>
      <c r="D153" s="112"/>
      <c r="E153" s="113"/>
      <c r="F153" s="114" t="s">
        <v>30</v>
      </c>
      <c r="G153" s="115"/>
      <c r="H153" s="2"/>
      <c r="I153" s="94"/>
      <c r="J153" s="92" t="s">
        <v>30</v>
      </c>
      <c r="K153" s="95"/>
      <c r="L153" s="90" t="str">
        <f t="shared" si="20"/>
        <v>DRAW</v>
      </c>
      <c r="M153" s="43"/>
      <c r="N153" s="94"/>
      <c r="O153" s="92" t="s">
        <v>30</v>
      </c>
      <c r="P153" s="95"/>
      <c r="Q153" s="90" t="b">
        <f t="shared" si="21"/>
        <v>1</v>
      </c>
      <c r="R153" s="90" t="str">
        <f t="shared" si="22"/>
        <v>DRAW</v>
      </c>
      <c r="S153" s="90">
        <f t="shared" si="23"/>
        <v>1</v>
      </c>
      <c r="T153" s="2"/>
      <c r="U153" s="94"/>
      <c r="V153" s="92" t="s">
        <v>30</v>
      </c>
      <c r="W153" s="95"/>
      <c r="X153" s="90" t="b">
        <f t="shared" si="24"/>
        <v>1</v>
      </c>
      <c r="Y153" s="90" t="str">
        <f t="shared" si="25"/>
        <v>DRAW</v>
      </c>
      <c r="Z153" s="90">
        <f t="shared" si="26"/>
        <v>1</v>
      </c>
      <c r="AA153" s="2"/>
      <c r="AB153" s="94"/>
      <c r="AC153" s="92" t="s">
        <v>30</v>
      </c>
      <c r="AD153" s="95"/>
      <c r="AE153" s="90" t="b">
        <f t="shared" si="27"/>
        <v>1</v>
      </c>
      <c r="AF153" s="90" t="str">
        <f t="shared" si="28"/>
        <v>DRAW</v>
      </c>
      <c r="AG153" s="90">
        <f t="shared" si="29"/>
        <v>1</v>
      </c>
      <c r="AH153" s="45"/>
    </row>
    <row r="154" spans="1:34" x14ac:dyDescent="0.3">
      <c r="A154" s="35"/>
      <c r="B154" s="36"/>
      <c r="C154" s="111"/>
      <c r="D154" s="116"/>
      <c r="E154" s="117"/>
      <c r="F154" s="118" t="s">
        <v>30</v>
      </c>
      <c r="G154" s="119"/>
      <c r="H154" s="2"/>
      <c r="I154" s="47"/>
      <c r="J154" s="88" t="s">
        <v>30</v>
      </c>
      <c r="K154" s="89"/>
      <c r="L154" s="37" t="str">
        <f t="shared" si="20"/>
        <v>DRAW</v>
      </c>
      <c r="M154" s="43"/>
      <c r="N154" s="47"/>
      <c r="O154" s="88" t="s">
        <v>30</v>
      </c>
      <c r="P154" s="89"/>
      <c r="Q154" s="37" t="b">
        <f t="shared" si="21"/>
        <v>1</v>
      </c>
      <c r="R154" s="37" t="str">
        <f t="shared" si="22"/>
        <v>DRAW</v>
      </c>
      <c r="S154" s="37">
        <f t="shared" si="23"/>
        <v>1</v>
      </c>
      <c r="T154" s="2"/>
      <c r="U154" s="47"/>
      <c r="V154" s="88" t="s">
        <v>30</v>
      </c>
      <c r="W154" s="89"/>
      <c r="X154" s="37" t="b">
        <f t="shared" si="24"/>
        <v>1</v>
      </c>
      <c r="Y154" s="37" t="str">
        <f t="shared" si="25"/>
        <v>DRAW</v>
      </c>
      <c r="Z154" s="37">
        <f t="shared" si="26"/>
        <v>1</v>
      </c>
      <c r="AA154" s="2"/>
      <c r="AB154" s="47"/>
      <c r="AC154" s="88" t="s">
        <v>30</v>
      </c>
      <c r="AD154" s="89"/>
      <c r="AE154" s="37" t="b">
        <f t="shared" si="27"/>
        <v>1</v>
      </c>
      <c r="AF154" s="37" t="str">
        <f t="shared" si="28"/>
        <v>DRAW</v>
      </c>
      <c r="AG154" s="37">
        <f t="shared" si="29"/>
        <v>1</v>
      </c>
      <c r="AH154" s="45"/>
    </row>
    <row r="155" spans="1:34" x14ac:dyDescent="0.3">
      <c r="A155" s="120">
        <v>46215</v>
      </c>
      <c r="B155" s="121">
        <v>0</v>
      </c>
      <c r="C155" s="111"/>
      <c r="D155" s="96" t="s">
        <v>103</v>
      </c>
      <c r="E155" s="97"/>
      <c r="F155" s="98" t="s">
        <v>30</v>
      </c>
      <c r="G155" s="52"/>
      <c r="H155" s="2"/>
      <c r="I155" s="51"/>
      <c r="J155" s="98" t="s">
        <v>30</v>
      </c>
      <c r="K155" s="99"/>
      <c r="L155" s="96" t="str">
        <f t="shared" si="20"/>
        <v>DRAW</v>
      </c>
      <c r="M155" s="43"/>
      <c r="N155" s="51"/>
      <c r="O155" s="98" t="s">
        <v>30</v>
      </c>
      <c r="P155" s="99"/>
      <c r="Q155" s="96" t="b">
        <f t="shared" si="21"/>
        <v>1</v>
      </c>
      <c r="R155" s="96" t="str">
        <f t="shared" si="22"/>
        <v>DRAW</v>
      </c>
      <c r="S155" s="96">
        <f t="shared" si="23"/>
        <v>1</v>
      </c>
      <c r="T155" s="2"/>
      <c r="U155" s="51"/>
      <c r="V155" s="98" t="s">
        <v>30</v>
      </c>
      <c r="W155" s="99"/>
      <c r="X155" s="96" t="b">
        <f t="shared" si="24"/>
        <v>1</v>
      </c>
      <c r="Y155" s="96" t="str">
        <f t="shared" si="25"/>
        <v>DRAW</v>
      </c>
      <c r="Z155" s="96">
        <f t="shared" si="26"/>
        <v>1</v>
      </c>
      <c r="AA155" s="2"/>
      <c r="AB155" s="51"/>
      <c r="AC155" s="98" t="s">
        <v>30</v>
      </c>
      <c r="AD155" s="99"/>
      <c r="AE155" s="96" t="b">
        <f t="shared" si="27"/>
        <v>1</v>
      </c>
      <c r="AF155" s="96" t="str">
        <f t="shared" si="28"/>
        <v>DRAW</v>
      </c>
      <c r="AG155" s="96">
        <f t="shared" si="29"/>
        <v>1</v>
      </c>
      <c r="AH155" s="45"/>
    </row>
    <row r="156" spans="1:34" x14ac:dyDescent="0.3">
      <c r="A156" s="109"/>
      <c r="B156" s="110"/>
      <c r="C156" s="111"/>
      <c r="D156" s="112"/>
      <c r="E156" s="113"/>
      <c r="F156" s="114" t="s">
        <v>30</v>
      </c>
      <c r="G156" s="115"/>
      <c r="H156" s="2"/>
      <c r="I156" s="94"/>
      <c r="J156" s="92" t="s">
        <v>30</v>
      </c>
      <c r="K156" s="95"/>
      <c r="L156" s="90" t="str">
        <f t="shared" si="20"/>
        <v>DRAW</v>
      </c>
      <c r="M156" s="43"/>
      <c r="N156" s="94"/>
      <c r="O156" s="92" t="s">
        <v>30</v>
      </c>
      <c r="P156" s="95"/>
      <c r="Q156" s="90" t="b">
        <f t="shared" si="21"/>
        <v>1</v>
      </c>
      <c r="R156" s="90" t="str">
        <f t="shared" si="22"/>
        <v>DRAW</v>
      </c>
      <c r="S156" s="90">
        <f t="shared" si="23"/>
        <v>1</v>
      </c>
      <c r="T156" s="2"/>
      <c r="U156" s="94"/>
      <c r="V156" s="92" t="s">
        <v>30</v>
      </c>
      <c r="W156" s="95"/>
      <c r="X156" s="90" t="b">
        <f t="shared" si="24"/>
        <v>1</v>
      </c>
      <c r="Y156" s="90" t="str">
        <f t="shared" si="25"/>
        <v>DRAW</v>
      </c>
      <c r="Z156" s="90">
        <f t="shared" si="26"/>
        <v>1</v>
      </c>
      <c r="AA156" s="2"/>
      <c r="AB156" s="94"/>
      <c r="AC156" s="92" t="s">
        <v>30</v>
      </c>
      <c r="AD156" s="95"/>
      <c r="AE156" s="90" t="b">
        <f t="shared" si="27"/>
        <v>1</v>
      </c>
      <c r="AF156" s="90" t="str">
        <f t="shared" si="28"/>
        <v>DRAW</v>
      </c>
      <c r="AG156" s="90">
        <f t="shared" si="29"/>
        <v>1</v>
      </c>
      <c r="AH156" s="45"/>
    </row>
    <row r="157" spans="1:34" x14ac:dyDescent="0.3">
      <c r="A157" s="35"/>
      <c r="B157" s="36"/>
      <c r="C157" s="111"/>
      <c r="D157" s="116"/>
      <c r="E157" s="117"/>
      <c r="F157" s="118" t="s">
        <v>30</v>
      </c>
      <c r="G157" s="119"/>
      <c r="H157" s="2"/>
      <c r="I157" s="47"/>
      <c r="J157" s="88" t="s">
        <v>30</v>
      </c>
      <c r="K157" s="89"/>
      <c r="L157" s="37" t="str">
        <f t="shared" si="20"/>
        <v>DRAW</v>
      </c>
      <c r="M157" s="43"/>
      <c r="N157" s="47"/>
      <c r="O157" s="88" t="s">
        <v>30</v>
      </c>
      <c r="P157" s="89"/>
      <c r="Q157" s="37" t="b">
        <f t="shared" si="21"/>
        <v>1</v>
      </c>
      <c r="R157" s="37" t="str">
        <f t="shared" si="22"/>
        <v>DRAW</v>
      </c>
      <c r="S157" s="37">
        <f t="shared" si="23"/>
        <v>1</v>
      </c>
      <c r="T157" s="2"/>
      <c r="U157" s="47"/>
      <c r="V157" s="88" t="s">
        <v>30</v>
      </c>
      <c r="W157" s="89"/>
      <c r="X157" s="37" t="b">
        <f t="shared" si="24"/>
        <v>1</v>
      </c>
      <c r="Y157" s="37" t="str">
        <f t="shared" si="25"/>
        <v>DRAW</v>
      </c>
      <c r="Z157" s="37">
        <f t="shared" si="26"/>
        <v>1</v>
      </c>
      <c r="AA157" s="2"/>
      <c r="AB157" s="47"/>
      <c r="AC157" s="88" t="s">
        <v>30</v>
      </c>
      <c r="AD157" s="89"/>
      <c r="AE157" s="37" t="b">
        <f t="shared" si="27"/>
        <v>1</v>
      </c>
      <c r="AF157" s="37" t="str">
        <f t="shared" si="28"/>
        <v>DRAW</v>
      </c>
      <c r="AG157" s="37">
        <f t="shared" si="29"/>
        <v>1</v>
      </c>
      <c r="AH157" s="45"/>
    </row>
    <row r="158" spans="1:34" x14ac:dyDescent="0.3">
      <c r="A158" s="120">
        <v>46215</v>
      </c>
      <c r="B158" s="121">
        <v>0.16666666666666666</v>
      </c>
      <c r="C158" s="111"/>
      <c r="D158" s="96" t="s">
        <v>103</v>
      </c>
      <c r="E158" s="97"/>
      <c r="F158" s="98" t="s">
        <v>30</v>
      </c>
      <c r="G158" s="52"/>
      <c r="H158" s="2"/>
      <c r="I158" s="51"/>
      <c r="J158" s="98" t="s">
        <v>30</v>
      </c>
      <c r="K158" s="99"/>
      <c r="L158" s="96" t="str">
        <f t="shared" si="20"/>
        <v>DRAW</v>
      </c>
      <c r="M158" s="43"/>
      <c r="N158" s="51"/>
      <c r="O158" s="98" t="s">
        <v>30</v>
      </c>
      <c r="P158" s="99"/>
      <c r="Q158" s="96" t="b">
        <f t="shared" si="21"/>
        <v>1</v>
      </c>
      <c r="R158" s="96" t="str">
        <f t="shared" si="22"/>
        <v>DRAW</v>
      </c>
      <c r="S158" s="96">
        <f t="shared" si="23"/>
        <v>1</v>
      </c>
      <c r="T158" s="2"/>
      <c r="U158" s="51"/>
      <c r="V158" s="98" t="s">
        <v>30</v>
      </c>
      <c r="W158" s="99"/>
      <c r="X158" s="96" t="b">
        <f t="shared" si="24"/>
        <v>1</v>
      </c>
      <c r="Y158" s="96" t="str">
        <f t="shared" si="25"/>
        <v>DRAW</v>
      </c>
      <c r="Z158" s="96">
        <f t="shared" si="26"/>
        <v>1</v>
      </c>
      <c r="AA158" s="2"/>
      <c r="AB158" s="51"/>
      <c r="AC158" s="98" t="s">
        <v>30</v>
      </c>
      <c r="AD158" s="99"/>
      <c r="AE158" s="96" t="b">
        <f t="shared" si="27"/>
        <v>1</v>
      </c>
      <c r="AF158" s="96" t="str">
        <f t="shared" si="28"/>
        <v>DRAW</v>
      </c>
      <c r="AG158" s="96">
        <f t="shared" si="29"/>
        <v>1</v>
      </c>
      <c r="AH158" s="45"/>
    </row>
    <row r="159" spans="1:34" x14ac:dyDescent="0.3">
      <c r="A159" s="109"/>
      <c r="B159" s="110"/>
      <c r="C159" s="111"/>
      <c r="D159" s="112"/>
      <c r="E159" s="113"/>
      <c r="F159" s="114" t="s">
        <v>30</v>
      </c>
      <c r="G159" s="115"/>
      <c r="H159" s="2"/>
      <c r="I159" s="94"/>
      <c r="J159" s="92" t="s">
        <v>30</v>
      </c>
      <c r="K159" s="95"/>
      <c r="L159" s="90" t="str">
        <f t="shared" si="20"/>
        <v>DRAW</v>
      </c>
      <c r="M159" s="43"/>
      <c r="N159" s="94"/>
      <c r="O159" s="92" t="s">
        <v>30</v>
      </c>
      <c r="P159" s="95"/>
      <c r="Q159" s="90" t="b">
        <f t="shared" si="21"/>
        <v>1</v>
      </c>
      <c r="R159" s="90" t="str">
        <f t="shared" si="22"/>
        <v>DRAW</v>
      </c>
      <c r="S159" s="90">
        <f t="shared" si="23"/>
        <v>1</v>
      </c>
      <c r="T159" s="2"/>
      <c r="U159" s="94"/>
      <c r="V159" s="92" t="s">
        <v>30</v>
      </c>
      <c r="W159" s="95"/>
      <c r="X159" s="90" t="b">
        <f t="shared" si="24"/>
        <v>1</v>
      </c>
      <c r="Y159" s="90" t="str">
        <f t="shared" si="25"/>
        <v>DRAW</v>
      </c>
      <c r="Z159" s="90">
        <f t="shared" si="26"/>
        <v>1</v>
      </c>
      <c r="AA159" s="2"/>
      <c r="AB159" s="94"/>
      <c r="AC159" s="92" t="s">
        <v>30</v>
      </c>
      <c r="AD159" s="95"/>
      <c r="AE159" s="90" t="b">
        <f t="shared" si="27"/>
        <v>1</v>
      </c>
      <c r="AF159" s="90" t="str">
        <f t="shared" si="28"/>
        <v>DRAW</v>
      </c>
      <c r="AG159" s="90">
        <f t="shared" si="29"/>
        <v>1</v>
      </c>
      <c r="AH159" s="45"/>
    </row>
    <row r="160" spans="1:34" ht="14.95" thickBot="1" x14ac:dyDescent="0.35">
      <c r="A160" s="122"/>
      <c r="B160" s="123"/>
      <c r="C160" s="111"/>
      <c r="D160" s="124"/>
      <c r="E160" s="125"/>
      <c r="F160" s="126" t="s">
        <v>30</v>
      </c>
      <c r="G160" s="127"/>
      <c r="H160" s="2"/>
      <c r="I160" s="128"/>
      <c r="J160" s="129" t="s">
        <v>30</v>
      </c>
      <c r="K160" s="130"/>
      <c r="L160" s="131" t="str">
        <f t="shared" si="20"/>
        <v>DRAW</v>
      </c>
      <c r="M160" s="43"/>
      <c r="N160" s="128"/>
      <c r="O160" s="129" t="s">
        <v>30</v>
      </c>
      <c r="P160" s="130"/>
      <c r="Q160" s="131" t="b">
        <f t="shared" si="21"/>
        <v>1</v>
      </c>
      <c r="R160" s="131" t="str">
        <f t="shared" si="22"/>
        <v>DRAW</v>
      </c>
      <c r="S160" s="131">
        <f t="shared" si="23"/>
        <v>1</v>
      </c>
      <c r="T160" s="2"/>
      <c r="U160" s="128"/>
      <c r="V160" s="129" t="s">
        <v>30</v>
      </c>
      <c r="W160" s="130"/>
      <c r="X160" s="131" t="b">
        <f t="shared" si="24"/>
        <v>1</v>
      </c>
      <c r="Y160" s="131" t="str">
        <f t="shared" si="25"/>
        <v>DRAW</v>
      </c>
      <c r="Z160" s="131">
        <f t="shared" si="26"/>
        <v>1</v>
      </c>
      <c r="AA160" s="2"/>
      <c r="AB160" s="128"/>
      <c r="AC160" s="129" t="s">
        <v>30</v>
      </c>
      <c r="AD160" s="130"/>
      <c r="AE160" s="131" t="b">
        <f t="shared" si="27"/>
        <v>1</v>
      </c>
      <c r="AF160" s="131" t="str">
        <f t="shared" si="28"/>
        <v>DRAW</v>
      </c>
      <c r="AG160" s="131">
        <f t="shared" si="29"/>
        <v>1</v>
      </c>
      <c r="AH160" s="45"/>
    </row>
    <row r="161" spans="1:34" x14ac:dyDescent="0.3">
      <c r="A161" s="109">
        <v>46217</v>
      </c>
      <c r="B161" s="110">
        <v>0.91666666666666663</v>
      </c>
      <c r="C161" s="111"/>
      <c r="D161" s="90" t="s">
        <v>104</v>
      </c>
      <c r="E161" s="91"/>
      <c r="F161" s="92" t="s">
        <v>30</v>
      </c>
      <c r="G161" s="93"/>
      <c r="H161" s="2"/>
      <c r="I161" s="94"/>
      <c r="J161" s="92" t="s">
        <v>30</v>
      </c>
      <c r="K161" s="95"/>
      <c r="L161" s="90" t="str">
        <f t="shared" si="20"/>
        <v>DRAW</v>
      </c>
      <c r="M161" s="43"/>
      <c r="N161" s="94"/>
      <c r="O161" s="92" t="s">
        <v>30</v>
      </c>
      <c r="P161" s="95"/>
      <c r="Q161" s="90" t="b">
        <f t="shared" si="21"/>
        <v>1</v>
      </c>
      <c r="R161" s="90" t="str">
        <f t="shared" si="22"/>
        <v>DRAW</v>
      </c>
      <c r="S161" s="90">
        <f t="shared" si="23"/>
        <v>1</v>
      </c>
      <c r="T161" s="2"/>
      <c r="U161" s="94"/>
      <c r="V161" s="92" t="s">
        <v>30</v>
      </c>
      <c r="W161" s="95"/>
      <c r="X161" s="90" t="b">
        <f t="shared" si="24"/>
        <v>1</v>
      </c>
      <c r="Y161" s="90" t="str">
        <f t="shared" si="25"/>
        <v>DRAW</v>
      </c>
      <c r="Z161" s="90">
        <f t="shared" si="26"/>
        <v>1</v>
      </c>
      <c r="AA161" s="2"/>
      <c r="AB161" s="94"/>
      <c r="AC161" s="92" t="s">
        <v>30</v>
      </c>
      <c r="AD161" s="95"/>
      <c r="AE161" s="90" t="b">
        <f t="shared" si="27"/>
        <v>1</v>
      </c>
      <c r="AF161" s="90" t="str">
        <f t="shared" si="28"/>
        <v>DRAW</v>
      </c>
      <c r="AG161" s="90">
        <f t="shared" si="29"/>
        <v>1</v>
      </c>
      <c r="AH161" s="45"/>
    </row>
    <row r="162" spans="1:34" x14ac:dyDescent="0.3">
      <c r="A162" s="109"/>
      <c r="B162" s="110"/>
      <c r="C162" s="111"/>
      <c r="D162" s="112"/>
      <c r="E162" s="113"/>
      <c r="F162" s="114" t="s">
        <v>30</v>
      </c>
      <c r="G162" s="115"/>
      <c r="H162" s="2"/>
      <c r="I162" s="94"/>
      <c r="J162" s="92" t="s">
        <v>30</v>
      </c>
      <c r="K162" s="95"/>
      <c r="L162" s="90" t="str">
        <f t="shared" si="20"/>
        <v>DRAW</v>
      </c>
      <c r="M162" s="43"/>
      <c r="N162" s="94"/>
      <c r="O162" s="92" t="s">
        <v>30</v>
      </c>
      <c r="P162" s="95"/>
      <c r="Q162" s="90" t="b">
        <f t="shared" si="21"/>
        <v>1</v>
      </c>
      <c r="R162" s="90" t="str">
        <f t="shared" si="22"/>
        <v>DRAW</v>
      </c>
      <c r="S162" s="90">
        <f t="shared" si="23"/>
        <v>1</v>
      </c>
      <c r="T162" s="2"/>
      <c r="U162" s="94"/>
      <c r="V162" s="92" t="s">
        <v>30</v>
      </c>
      <c r="W162" s="95"/>
      <c r="X162" s="90" t="b">
        <f t="shared" si="24"/>
        <v>1</v>
      </c>
      <c r="Y162" s="90" t="str">
        <f t="shared" si="25"/>
        <v>DRAW</v>
      </c>
      <c r="Z162" s="90">
        <f t="shared" si="26"/>
        <v>1</v>
      </c>
      <c r="AA162" s="2"/>
      <c r="AB162" s="94"/>
      <c r="AC162" s="92" t="s">
        <v>30</v>
      </c>
      <c r="AD162" s="95"/>
      <c r="AE162" s="90" t="b">
        <f t="shared" si="27"/>
        <v>1</v>
      </c>
      <c r="AF162" s="90" t="str">
        <f t="shared" si="28"/>
        <v>DRAW</v>
      </c>
      <c r="AG162" s="90">
        <f t="shared" si="29"/>
        <v>1</v>
      </c>
      <c r="AH162" s="45"/>
    </row>
    <row r="163" spans="1:34" x14ac:dyDescent="0.3">
      <c r="A163" s="35"/>
      <c r="B163" s="36"/>
      <c r="C163" s="111"/>
      <c r="D163" s="116"/>
      <c r="E163" s="117"/>
      <c r="F163" s="118" t="s">
        <v>30</v>
      </c>
      <c r="G163" s="119"/>
      <c r="H163" s="2"/>
      <c r="I163" s="47"/>
      <c r="J163" s="88" t="s">
        <v>30</v>
      </c>
      <c r="K163" s="89"/>
      <c r="L163" s="37" t="str">
        <f t="shared" si="20"/>
        <v>DRAW</v>
      </c>
      <c r="M163" s="43"/>
      <c r="N163" s="47"/>
      <c r="O163" s="88" t="s">
        <v>30</v>
      </c>
      <c r="P163" s="89"/>
      <c r="Q163" s="37" t="b">
        <f t="shared" si="21"/>
        <v>1</v>
      </c>
      <c r="R163" s="37" t="str">
        <f t="shared" si="22"/>
        <v>DRAW</v>
      </c>
      <c r="S163" s="37">
        <f t="shared" si="23"/>
        <v>1</v>
      </c>
      <c r="T163" s="2"/>
      <c r="U163" s="47"/>
      <c r="V163" s="88" t="s">
        <v>30</v>
      </c>
      <c r="W163" s="89"/>
      <c r="X163" s="37" t="b">
        <f t="shared" si="24"/>
        <v>1</v>
      </c>
      <c r="Y163" s="37" t="str">
        <f t="shared" si="25"/>
        <v>DRAW</v>
      </c>
      <c r="Z163" s="37">
        <f t="shared" si="26"/>
        <v>1</v>
      </c>
      <c r="AA163" s="2"/>
      <c r="AB163" s="47"/>
      <c r="AC163" s="88" t="s">
        <v>30</v>
      </c>
      <c r="AD163" s="89"/>
      <c r="AE163" s="37" t="b">
        <f t="shared" si="27"/>
        <v>1</v>
      </c>
      <c r="AF163" s="37" t="str">
        <f t="shared" si="28"/>
        <v>DRAW</v>
      </c>
      <c r="AG163" s="37">
        <f t="shared" si="29"/>
        <v>1</v>
      </c>
      <c r="AH163" s="45"/>
    </row>
    <row r="164" spans="1:34" x14ac:dyDescent="0.3">
      <c r="A164" s="120">
        <v>46218</v>
      </c>
      <c r="B164" s="121">
        <v>0.91666666666666663</v>
      </c>
      <c r="C164" s="111"/>
      <c r="D164" s="96" t="s">
        <v>104</v>
      </c>
      <c r="E164" s="97"/>
      <c r="F164" s="98" t="s">
        <v>30</v>
      </c>
      <c r="G164" s="52"/>
      <c r="H164" s="2"/>
      <c r="I164" s="51"/>
      <c r="J164" s="98" t="s">
        <v>30</v>
      </c>
      <c r="K164" s="99"/>
      <c r="L164" s="96" t="str">
        <f t="shared" si="20"/>
        <v>DRAW</v>
      </c>
      <c r="M164" s="43"/>
      <c r="N164" s="51"/>
      <c r="O164" s="98" t="s">
        <v>30</v>
      </c>
      <c r="P164" s="99"/>
      <c r="Q164" s="96" t="b">
        <f t="shared" si="21"/>
        <v>1</v>
      </c>
      <c r="R164" s="96" t="str">
        <f t="shared" si="22"/>
        <v>DRAW</v>
      </c>
      <c r="S164" s="96">
        <f t="shared" si="23"/>
        <v>1</v>
      </c>
      <c r="T164" s="2"/>
      <c r="U164" s="51"/>
      <c r="V164" s="98" t="s">
        <v>30</v>
      </c>
      <c r="W164" s="99"/>
      <c r="X164" s="96" t="b">
        <f t="shared" si="24"/>
        <v>1</v>
      </c>
      <c r="Y164" s="96" t="str">
        <f t="shared" si="25"/>
        <v>DRAW</v>
      </c>
      <c r="Z164" s="96">
        <f t="shared" si="26"/>
        <v>1</v>
      </c>
      <c r="AA164" s="2"/>
      <c r="AB164" s="51"/>
      <c r="AC164" s="98" t="s">
        <v>30</v>
      </c>
      <c r="AD164" s="99"/>
      <c r="AE164" s="96" t="b">
        <f t="shared" si="27"/>
        <v>1</v>
      </c>
      <c r="AF164" s="96" t="str">
        <f t="shared" si="28"/>
        <v>DRAW</v>
      </c>
      <c r="AG164" s="96">
        <f t="shared" si="29"/>
        <v>1</v>
      </c>
      <c r="AH164" s="45"/>
    </row>
    <row r="165" spans="1:34" x14ac:dyDescent="0.3">
      <c r="A165" s="109"/>
      <c r="B165" s="110"/>
      <c r="C165" s="111"/>
      <c r="D165" s="112"/>
      <c r="E165" s="113"/>
      <c r="F165" s="114" t="s">
        <v>30</v>
      </c>
      <c r="G165" s="115"/>
      <c r="H165" s="2"/>
      <c r="I165" s="94"/>
      <c r="J165" s="92" t="s">
        <v>30</v>
      </c>
      <c r="K165" s="95"/>
      <c r="L165" s="90" t="str">
        <f t="shared" si="20"/>
        <v>DRAW</v>
      </c>
      <c r="M165" s="43"/>
      <c r="N165" s="94"/>
      <c r="O165" s="92" t="s">
        <v>30</v>
      </c>
      <c r="P165" s="95"/>
      <c r="Q165" s="90" t="b">
        <f t="shared" si="21"/>
        <v>1</v>
      </c>
      <c r="R165" s="90" t="str">
        <f t="shared" si="22"/>
        <v>DRAW</v>
      </c>
      <c r="S165" s="90">
        <f t="shared" si="23"/>
        <v>1</v>
      </c>
      <c r="T165" s="2"/>
      <c r="U165" s="94"/>
      <c r="V165" s="92" t="s">
        <v>30</v>
      </c>
      <c r="W165" s="95"/>
      <c r="X165" s="90" t="b">
        <f t="shared" si="24"/>
        <v>1</v>
      </c>
      <c r="Y165" s="90" t="str">
        <f t="shared" si="25"/>
        <v>DRAW</v>
      </c>
      <c r="Z165" s="90">
        <f t="shared" si="26"/>
        <v>1</v>
      </c>
      <c r="AA165" s="2"/>
      <c r="AB165" s="94"/>
      <c r="AC165" s="92" t="s">
        <v>30</v>
      </c>
      <c r="AD165" s="95"/>
      <c r="AE165" s="90" t="b">
        <f t="shared" si="27"/>
        <v>1</v>
      </c>
      <c r="AF165" s="90" t="str">
        <f t="shared" si="28"/>
        <v>DRAW</v>
      </c>
      <c r="AG165" s="90">
        <f t="shared" si="29"/>
        <v>1</v>
      </c>
      <c r="AH165" s="45"/>
    </row>
    <row r="166" spans="1:34" ht="14.95" thickBot="1" x14ac:dyDescent="0.35">
      <c r="A166" s="122"/>
      <c r="B166" s="123"/>
      <c r="C166" s="111"/>
      <c r="D166" s="124"/>
      <c r="E166" s="125"/>
      <c r="F166" s="126" t="s">
        <v>30</v>
      </c>
      <c r="G166" s="127"/>
      <c r="H166" s="2"/>
      <c r="I166" s="128"/>
      <c r="J166" s="129" t="s">
        <v>30</v>
      </c>
      <c r="K166" s="130"/>
      <c r="L166" s="131" t="str">
        <f t="shared" si="20"/>
        <v>DRAW</v>
      </c>
      <c r="M166" s="43"/>
      <c r="N166" s="128"/>
      <c r="O166" s="129" t="s">
        <v>30</v>
      </c>
      <c r="P166" s="130"/>
      <c r="Q166" s="131" t="b">
        <f t="shared" si="21"/>
        <v>1</v>
      </c>
      <c r="R166" s="131" t="str">
        <f t="shared" si="22"/>
        <v>DRAW</v>
      </c>
      <c r="S166" s="131">
        <f t="shared" si="23"/>
        <v>1</v>
      </c>
      <c r="T166" s="2"/>
      <c r="U166" s="128"/>
      <c r="V166" s="129" t="s">
        <v>30</v>
      </c>
      <c r="W166" s="130"/>
      <c r="X166" s="131" t="b">
        <f t="shared" si="24"/>
        <v>1</v>
      </c>
      <c r="Y166" s="131" t="str">
        <f t="shared" si="25"/>
        <v>DRAW</v>
      </c>
      <c r="Z166" s="131">
        <f t="shared" si="26"/>
        <v>1</v>
      </c>
      <c r="AA166" s="2"/>
      <c r="AB166" s="128"/>
      <c r="AC166" s="129" t="s">
        <v>30</v>
      </c>
      <c r="AD166" s="130"/>
      <c r="AE166" s="131" t="b">
        <f t="shared" si="27"/>
        <v>1</v>
      </c>
      <c r="AF166" s="131" t="str">
        <f t="shared" si="28"/>
        <v>DRAW</v>
      </c>
      <c r="AG166" s="131">
        <f t="shared" si="29"/>
        <v>1</v>
      </c>
      <c r="AH166" s="45"/>
    </row>
    <row r="167" spans="1:34" x14ac:dyDescent="0.3">
      <c r="A167" s="109">
        <v>46222</v>
      </c>
      <c r="B167" s="110">
        <v>0</v>
      </c>
      <c r="C167" s="111"/>
      <c r="D167" s="90" t="s">
        <v>87</v>
      </c>
      <c r="E167" s="91"/>
      <c r="F167" s="92" t="s">
        <v>30</v>
      </c>
      <c r="G167" s="93"/>
      <c r="H167" s="2"/>
      <c r="I167" s="94"/>
      <c r="J167" s="92" t="s">
        <v>30</v>
      </c>
      <c r="K167" s="95"/>
      <c r="L167" s="90" t="str">
        <f t="shared" si="20"/>
        <v>DRAW</v>
      </c>
      <c r="M167" s="43"/>
      <c r="N167" s="94"/>
      <c r="O167" s="92" t="s">
        <v>30</v>
      </c>
      <c r="P167" s="95"/>
      <c r="Q167" s="90" t="b">
        <f t="shared" si="21"/>
        <v>1</v>
      </c>
      <c r="R167" s="90" t="str">
        <f t="shared" si="22"/>
        <v>DRAW</v>
      </c>
      <c r="S167" s="90">
        <f t="shared" si="23"/>
        <v>1</v>
      </c>
      <c r="T167" s="2"/>
      <c r="U167" s="94"/>
      <c r="V167" s="92" t="s">
        <v>30</v>
      </c>
      <c r="W167" s="95"/>
      <c r="X167" s="90" t="b">
        <f t="shared" si="24"/>
        <v>1</v>
      </c>
      <c r="Y167" s="90" t="str">
        <f t="shared" si="25"/>
        <v>DRAW</v>
      </c>
      <c r="Z167" s="90">
        <f t="shared" si="26"/>
        <v>1</v>
      </c>
      <c r="AA167" s="2"/>
      <c r="AB167" s="94"/>
      <c r="AC167" s="92" t="s">
        <v>30</v>
      </c>
      <c r="AD167" s="95"/>
      <c r="AE167" s="90" t="b">
        <f t="shared" si="27"/>
        <v>1</v>
      </c>
      <c r="AF167" s="90" t="str">
        <f t="shared" si="28"/>
        <v>DRAW</v>
      </c>
      <c r="AG167" s="90">
        <f t="shared" si="29"/>
        <v>1</v>
      </c>
      <c r="AH167" s="45"/>
    </row>
    <row r="168" spans="1:34" x14ac:dyDescent="0.3">
      <c r="A168" s="109"/>
      <c r="B168" s="110"/>
      <c r="C168" s="111"/>
      <c r="D168" s="112"/>
      <c r="E168" s="113"/>
      <c r="F168" s="114" t="s">
        <v>30</v>
      </c>
      <c r="G168" s="115"/>
      <c r="H168" s="2"/>
      <c r="I168" s="94"/>
      <c r="J168" s="92" t="s">
        <v>30</v>
      </c>
      <c r="K168" s="95"/>
      <c r="L168" s="90" t="str">
        <f t="shared" si="20"/>
        <v>DRAW</v>
      </c>
      <c r="M168" s="43"/>
      <c r="N168" s="94"/>
      <c r="O168" s="92" t="s">
        <v>30</v>
      </c>
      <c r="P168" s="95"/>
      <c r="Q168" s="90" t="b">
        <f t="shared" si="21"/>
        <v>1</v>
      </c>
      <c r="R168" s="90" t="str">
        <f t="shared" si="22"/>
        <v>DRAW</v>
      </c>
      <c r="S168" s="90">
        <f t="shared" si="23"/>
        <v>1</v>
      </c>
      <c r="T168" s="2"/>
      <c r="U168" s="94"/>
      <c r="V168" s="92" t="s">
        <v>30</v>
      </c>
      <c r="W168" s="95"/>
      <c r="X168" s="90" t="b">
        <f t="shared" si="24"/>
        <v>1</v>
      </c>
      <c r="Y168" s="90" t="str">
        <f t="shared" si="25"/>
        <v>DRAW</v>
      </c>
      <c r="Z168" s="90">
        <f t="shared" si="26"/>
        <v>1</v>
      </c>
      <c r="AA168" s="2"/>
      <c r="AB168" s="94"/>
      <c r="AC168" s="92" t="s">
        <v>30</v>
      </c>
      <c r="AD168" s="95"/>
      <c r="AE168" s="90" t="b">
        <f t="shared" si="27"/>
        <v>1</v>
      </c>
      <c r="AF168" s="90" t="str">
        <f t="shared" si="28"/>
        <v>DRAW</v>
      </c>
      <c r="AG168" s="90">
        <f t="shared" si="29"/>
        <v>1</v>
      </c>
      <c r="AH168" s="45"/>
    </row>
    <row r="169" spans="1:34" x14ac:dyDescent="0.3">
      <c r="A169" s="35"/>
      <c r="B169" s="36"/>
      <c r="C169" s="111"/>
      <c r="D169" s="116"/>
      <c r="E169" s="117"/>
      <c r="F169" s="118" t="s">
        <v>30</v>
      </c>
      <c r="G169" s="119"/>
      <c r="H169" s="2"/>
      <c r="I169" s="47"/>
      <c r="J169" s="88" t="s">
        <v>30</v>
      </c>
      <c r="K169" s="89"/>
      <c r="L169" s="37" t="str">
        <f t="shared" si="20"/>
        <v>DRAW</v>
      </c>
      <c r="M169" s="43"/>
      <c r="N169" s="47"/>
      <c r="O169" s="88" t="s">
        <v>30</v>
      </c>
      <c r="P169" s="89"/>
      <c r="Q169" s="37" t="b">
        <f t="shared" si="21"/>
        <v>1</v>
      </c>
      <c r="R169" s="37" t="str">
        <f t="shared" si="22"/>
        <v>DRAW</v>
      </c>
      <c r="S169" s="37">
        <f t="shared" si="23"/>
        <v>1</v>
      </c>
      <c r="T169" s="2"/>
      <c r="U169" s="47"/>
      <c r="V169" s="88" t="s">
        <v>30</v>
      </c>
      <c r="W169" s="89"/>
      <c r="X169" s="37" t="b">
        <f t="shared" si="24"/>
        <v>1</v>
      </c>
      <c r="Y169" s="37" t="str">
        <f t="shared" si="25"/>
        <v>DRAW</v>
      </c>
      <c r="Z169" s="37">
        <f t="shared" si="26"/>
        <v>1</v>
      </c>
      <c r="AA169" s="2"/>
      <c r="AB169" s="47"/>
      <c r="AC169" s="88" t="s">
        <v>30</v>
      </c>
      <c r="AD169" s="89"/>
      <c r="AE169" s="37" t="b">
        <f t="shared" si="27"/>
        <v>1</v>
      </c>
      <c r="AF169" s="37" t="str">
        <f t="shared" si="28"/>
        <v>DRAW</v>
      </c>
      <c r="AG169" s="37">
        <f t="shared" si="29"/>
        <v>1</v>
      </c>
      <c r="AH169" s="45"/>
    </row>
    <row r="170" spans="1:34" x14ac:dyDescent="0.3">
      <c r="A170" s="120">
        <v>46222</v>
      </c>
      <c r="B170" s="110">
        <v>0.91666666666666663</v>
      </c>
      <c r="C170" s="132" t="s">
        <v>105</v>
      </c>
      <c r="D170" s="96" t="s">
        <v>87</v>
      </c>
      <c r="E170" s="97"/>
      <c r="F170" s="98" t="s">
        <v>30</v>
      </c>
      <c r="G170" s="52"/>
      <c r="H170" s="2"/>
      <c r="I170" s="51"/>
      <c r="J170" s="98" t="s">
        <v>30</v>
      </c>
      <c r="K170" s="99"/>
      <c r="L170" s="96" t="str">
        <f t="shared" si="20"/>
        <v>DRAW</v>
      </c>
      <c r="M170" s="43"/>
      <c r="N170" s="51"/>
      <c r="O170" s="98" t="s">
        <v>30</v>
      </c>
      <c r="P170" s="99"/>
      <c r="Q170" s="96" t="b">
        <f t="shared" si="21"/>
        <v>1</v>
      </c>
      <c r="R170" s="96" t="str">
        <f t="shared" si="22"/>
        <v>DRAW</v>
      </c>
      <c r="S170" s="96">
        <f t="shared" si="23"/>
        <v>1</v>
      </c>
      <c r="T170" s="2"/>
      <c r="U170" s="51"/>
      <c r="V170" s="98" t="s">
        <v>30</v>
      </c>
      <c r="W170" s="99"/>
      <c r="X170" s="96" t="b">
        <f t="shared" si="24"/>
        <v>1</v>
      </c>
      <c r="Y170" s="96" t="str">
        <f t="shared" si="25"/>
        <v>DRAW</v>
      </c>
      <c r="Z170" s="96">
        <f t="shared" si="26"/>
        <v>1</v>
      </c>
      <c r="AA170" s="2"/>
      <c r="AB170" s="51"/>
      <c r="AC170" s="98" t="s">
        <v>30</v>
      </c>
      <c r="AD170" s="99"/>
      <c r="AE170" s="96" t="b">
        <f t="shared" si="27"/>
        <v>1</v>
      </c>
      <c r="AF170" s="96" t="str">
        <f t="shared" si="28"/>
        <v>DRAW</v>
      </c>
      <c r="AG170" s="96">
        <f t="shared" si="29"/>
        <v>1</v>
      </c>
      <c r="AH170" s="45"/>
    </row>
    <row r="171" spans="1:34" x14ac:dyDescent="0.3">
      <c r="A171" s="109"/>
      <c r="B171" s="109"/>
      <c r="C171" s="132" t="s">
        <v>105</v>
      </c>
      <c r="D171" s="112" t="s">
        <v>87</v>
      </c>
      <c r="E171" s="113"/>
      <c r="F171" s="114"/>
      <c r="G171" s="115"/>
      <c r="H171" s="2"/>
      <c r="I171" s="94"/>
      <c r="J171" s="92" t="s">
        <v>30</v>
      </c>
      <c r="K171" s="95"/>
      <c r="L171" s="90" t="str">
        <f t="shared" si="20"/>
        <v>DRAW</v>
      </c>
      <c r="M171" s="43"/>
      <c r="N171" s="94"/>
      <c r="O171" s="92" t="s">
        <v>30</v>
      </c>
      <c r="P171" s="95"/>
      <c r="Q171" s="90" t="b">
        <f t="shared" si="21"/>
        <v>1</v>
      </c>
      <c r="R171" s="90" t="str">
        <f t="shared" si="22"/>
        <v>DRAW</v>
      </c>
      <c r="S171" s="90">
        <f t="shared" si="23"/>
        <v>1</v>
      </c>
      <c r="T171" s="2"/>
      <c r="U171" s="94"/>
      <c r="V171" s="92" t="s">
        <v>30</v>
      </c>
      <c r="W171" s="95"/>
      <c r="X171" s="90" t="b">
        <f t="shared" si="24"/>
        <v>1</v>
      </c>
      <c r="Y171" s="90" t="str">
        <f t="shared" si="25"/>
        <v>DRAW</v>
      </c>
      <c r="Z171" s="90">
        <f t="shared" si="26"/>
        <v>1</v>
      </c>
      <c r="AA171" s="2"/>
      <c r="AB171" s="94"/>
      <c r="AC171" s="92" t="s">
        <v>30</v>
      </c>
      <c r="AD171" s="95"/>
      <c r="AE171" s="90" t="b">
        <f t="shared" si="27"/>
        <v>1</v>
      </c>
      <c r="AF171" s="90" t="str">
        <f t="shared" si="28"/>
        <v>DRAW</v>
      </c>
      <c r="AG171" s="90">
        <f t="shared" si="29"/>
        <v>1</v>
      </c>
      <c r="AH171" s="45"/>
    </row>
    <row r="172" spans="1:34" x14ac:dyDescent="0.3">
      <c r="A172" s="109"/>
      <c r="B172" s="109"/>
      <c r="C172" s="132" t="s">
        <v>105</v>
      </c>
      <c r="D172" s="112" t="s">
        <v>87</v>
      </c>
      <c r="E172" s="113"/>
      <c r="F172" s="114"/>
      <c r="G172" s="115"/>
      <c r="H172" s="2"/>
      <c r="I172" s="94"/>
      <c r="J172" s="92" t="s">
        <v>30</v>
      </c>
      <c r="K172" s="95"/>
      <c r="L172" s="90" t="str">
        <f t="shared" si="20"/>
        <v>DRAW</v>
      </c>
      <c r="M172" s="43"/>
      <c r="N172" s="94"/>
      <c r="O172" s="92" t="s">
        <v>30</v>
      </c>
      <c r="P172" s="95"/>
      <c r="Q172" s="90" t="b">
        <f t="shared" si="21"/>
        <v>1</v>
      </c>
      <c r="R172" s="90" t="str">
        <f t="shared" si="22"/>
        <v>DRAW</v>
      </c>
      <c r="S172" s="90">
        <f t="shared" si="23"/>
        <v>1</v>
      </c>
      <c r="T172" s="2"/>
      <c r="U172" s="94"/>
      <c r="V172" s="92" t="s">
        <v>30</v>
      </c>
      <c r="W172" s="95"/>
      <c r="X172" s="90" t="b">
        <f t="shared" si="24"/>
        <v>1</v>
      </c>
      <c r="Y172" s="90" t="str">
        <f t="shared" si="25"/>
        <v>DRAW</v>
      </c>
      <c r="Z172" s="90">
        <f t="shared" si="26"/>
        <v>1</v>
      </c>
      <c r="AA172" s="2"/>
      <c r="AB172" s="94"/>
      <c r="AC172" s="92" t="s">
        <v>30</v>
      </c>
      <c r="AD172" s="95"/>
      <c r="AE172" s="90" t="b">
        <f t="shared" si="27"/>
        <v>1</v>
      </c>
      <c r="AF172" s="90" t="str">
        <f t="shared" si="28"/>
        <v>DRAW</v>
      </c>
      <c r="AG172" s="90">
        <f t="shared" si="29"/>
        <v>1</v>
      </c>
      <c r="AH172" s="45"/>
    </row>
    <row r="173" spans="1:34" ht="14.95" thickBot="1" x14ac:dyDescent="0.35">
      <c r="A173" s="109"/>
      <c r="B173" s="109"/>
      <c r="C173" s="132" t="s">
        <v>105</v>
      </c>
      <c r="D173" s="133" t="s">
        <v>87</v>
      </c>
      <c r="E173" s="134"/>
      <c r="F173" s="135"/>
      <c r="G173" s="136"/>
      <c r="H173" s="2"/>
      <c r="I173" s="137"/>
      <c r="J173" s="138" t="s">
        <v>30</v>
      </c>
      <c r="K173" s="139"/>
      <c r="L173" s="140" t="str">
        <f t="shared" si="20"/>
        <v>DRAW</v>
      </c>
      <c r="M173" s="43"/>
      <c r="N173" s="137"/>
      <c r="O173" s="138" t="s">
        <v>30</v>
      </c>
      <c r="P173" s="139"/>
      <c r="Q173" s="140" t="b">
        <f t="shared" si="21"/>
        <v>1</v>
      </c>
      <c r="R173" s="140" t="str">
        <f t="shared" si="22"/>
        <v>DRAW</v>
      </c>
      <c r="S173" s="140">
        <f t="shared" si="23"/>
        <v>1</v>
      </c>
      <c r="T173" s="2"/>
      <c r="U173" s="137"/>
      <c r="V173" s="138" t="s">
        <v>30</v>
      </c>
      <c r="W173" s="139"/>
      <c r="X173" s="140" t="b">
        <f t="shared" si="24"/>
        <v>1</v>
      </c>
      <c r="Y173" s="140" t="str">
        <f t="shared" si="25"/>
        <v>DRAW</v>
      </c>
      <c r="Z173" s="140">
        <f t="shared" si="26"/>
        <v>1</v>
      </c>
      <c r="AA173" s="2"/>
      <c r="AB173" s="137"/>
      <c r="AC173" s="138" t="s">
        <v>30</v>
      </c>
      <c r="AD173" s="139"/>
      <c r="AE173" s="140" t="b">
        <f t="shared" si="27"/>
        <v>1</v>
      </c>
      <c r="AF173" s="140" t="str">
        <f t="shared" si="28"/>
        <v>DRAW</v>
      </c>
      <c r="AG173" s="140">
        <f t="shared" si="29"/>
        <v>1</v>
      </c>
      <c r="AH173" s="45"/>
    </row>
    <row r="174" spans="1:34" ht="15.8" customHeight="1" thickTop="1" x14ac:dyDescent="0.3">
      <c r="A174" s="109"/>
      <c r="B174" s="109"/>
      <c r="C174" s="111"/>
      <c r="D174" s="90"/>
      <c r="E174" s="141" t="s">
        <v>106</v>
      </c>
      <c r="F174" s="142"/>
      <c r="G174" s="143"/>
      <c r="H174" s="2"/>
      <c r="I174" s="144"/>
      <c r="J174" s="145"/>
      <c r="K174" s="145"/>
      <c r="L174" s="146"/>
      <c r="M174" s="43"/>
      <c r="N174" s="144"/>
      <c r="O174" s="145"/>
      <c r="P174" s="145"/>
      <c r="Q174" s="145"/>
      <c r="R174" s="146"/>
      <c r="S174" s="90">
        <f>IF(N174=$I174,1,0)</f>
        <v>1</v>
      </c>
      <c r="T174" s="2"/>
      <c r="U174" s="144"/>
      <c r="V174" s="145"/>
      <c r="W174" s="145"/>
      <c r="X174" s="145"/>
      <c r="Y174" s="146"/>
      <c r="Z174" s="90">
        <f>IF(U174=$I174,1,0)</f>
        <v>1</v>
      </c>
      <c r="AA174" s="2"/>
      <c r="AB174" s="144"/>
      <c r="AC174" s="145"/>
      <c r="AD174" s="145"/>
      <c r="AE174" s="145"/>
      <c r="AF174" s="146"/>
      <c r="AG174" s="90">
        <f>IF(AB174=$I174,1,0)</f>
        <v>1</v>
      </c>
      <c r="AH174" s="45"/>
    </row>
    <row r="175" spans="1:34" x14ac:dyDescent="0.3">
      <c r="A175" s="109"/>
      <c r="B175" s="109"/>
      <c r="C175" s="111"/>
      <c r="D175" s="90"/>
      <c r="E175" s="141" t="s">
        <v>107</v>
      </c>
      <c r="F175" s="142"/>
      <c r="G175" s="143"/>
      <c r="H175" s="2"/>
      <c r="I175" s="144"/>
      <c r="J175" s="145"/>
      <c r="K175" s="145"/>
      <c r="L175" s="146"/>
      <c r="M175" s="43"/>
      <c r="N175" s="144"/>
      <c r="O175" s="145"/>
      <c r="P175" s="145"/>
      <c r="Q175" s="145"/>
      <c r="R175" s="146"/>
      <c r="S175" s="90">
        <f t="shared" ref="S175:S178" si="30">IF(N175=$I175,1,0)</f>
        <v>1</v>
      </c>
      <c r="T175" s="2"/>
      <c r="U175" s="144"/>
      <c r="V175" s="145"/>
      <c r="W175" s="145"/>
      <c r="X175" s="145"/>
      <c r="Y175" s="146"/>
      <c r="Z175" s="90">
        <f t="shared" ref="Z175:Z178" si="31">IF(U175=$I175,1,0)</f>
        <v>1</v>
      </c>
      <c r="AA175" s="2"/>
      <c r="AB175" s="144"/>
      <c r="AC175" s="145"/>
      <c r="AD175" s="145"/>
      <c r="AE175" s="145"/>
      <c r="AF175" s="146"/>
      <c r="AG175" s="90">
        <f t="shared" ref="AG175:AG178" si="32">IF(AB175=$I175,1,0)</f>
        <v>1</v>
      </c>
      <c r="AH175" s="45"/>
    </row>
    <row r="176" spans="1:34" x14ac:dyDescent="0.3">
      <c r="A176" s="109"/>
      <c r="B176" s="109"/>
      <c r="C176" s="111"/>
      <c r="D176" s="90"/>
      <c r="E176" s="141" t="s">
        <v>108</v>
      </c>
      <c r="F176" s="142"/>
      <c r="G176" s="143"/>
      <c r="H176" s="2"/>
      <c r="I176" s="144"/>
      <c r="J176" s="145"/>
      <c r="K176" s="145"/>
      <c r="L176" s="146"/>
      <c r="M176" s="43"/>
      <c r="N176" s="144"/>
      <c r="O176" s="145"/>
      <c r="P176" s="145"/>
      <c r="Q176" s="145"/>
      <c r="R176" s="146"/>
      <c r="S176" s="90">
        <f t="shared" si="30"/>
        <v>1</v>
      </c>
      <c r="T176" s="2"/>
      <c r="U176" s="144"/>
      <c r="V176" s="145"/>
      <c r="W176" s="145"/>
      <c r="X176" s="145"/>
      <c r="Y176" s="146"/>
      <c r="Z176" s="90">
        <f t="shared" si="31"/>
        <v>1</v>
      </c>
      <c r="AA176" s="2"/>
      <c r="AB176" s="144"/>
      <c r="AC176" s="145"/>
      <c r="AD176" s="145"/>
      <c r="AE176" s="145"/>
      <c r="AF176" s="146"/>
      <c r="AG176" s="90">
        <f t="shared" si="32"/>
        <v>1</v>
      </c>
      <c r="AH176" s="45"/>
    </row>
    <row r="177" spans="1:34" x14ac:dyDescent="0.3">
      <c r="A177" s="109"/>
      <c r="B177" s="109"/>
      <c r="C177" s="111"/>
      <c r="D177" s="90"/>
      <c r="E177" s="141" t="s">
        <v>109</v>
      </c>
      <c r="F177" s="142"/>
      <c r="G177" s="143"/>
      <c r="H177" s="2"/>
      <c r="I177" s="144"/>
      <c r="J177" s="145"/>
      <c r="K177" s="145"/>
      <c r="L177" s="146"/>
      <c r="M177" s="43"/>
      <c r="N177" s="144"/>
      <c r="O177" s="145"/>
      <c r="P177" s="145"/>
      <c r="Q177" s="145"/>
      <c r="R177" s="146"/>
      <c r="S177" s="90">
        <f t="shared" si="30"/>
        <v>1</v>
      </c>
      <c r="T177" s="2"/>
      <c r="U177" s="144"/>
      <c r="V177" s="145"/>
      <c r="W177" s="145"/>
      <c r="X177" s="145"/>
      <c r="Y177" s="146"/>
      <c r="Z177" s="90">
        <f t="shared" si="31"/>
        <v>1</v>
      </c>
      <c r="AA177" s="2"/>
      <c r="AB177" s="144"/>
      <c r="AC177" s="145"/>
      <c r="AD177" s="145"/>
      <c r="AE177" s="145"/>
      <c r="AF177" s="146"/>
      <c r="AG177" s="90">
        <f t="shared" si="32"/>
        <v>1</v>
      </c>
      <c r="AH177" s="45"/>
    </row>
    <row r="178" spans="1:34" x14ac:dyDescent="0.3">
      <c r="A178" s="109"/>
      <c r="B178" s="109"/>
      <c r="C178" s="111"/>
      <c r="D178" s="90"/>
      <c r="E178" s="141" t="s">
        <v>110</v>
      </c>
      <c r="F178" s="142"/>
      <c r="G178" s="143"/>
      <c r="H178" s="2"/>
      <c r="I178" s="144"/>
      <c r="J178" s="145"/>
      <c r="K178" s="145"/>
      <c r="L178" s="146"/>
      <c r="M178" s="43"/>
      <c r="N178" s="144"/>
      <c r="O178" s="145"/>
      <c r="P178" s="145"/>
      <c r="Q178" s="145"/>
      <c r="R178" s="146"/>
      <c r="S178" s="90">
        <f t="shared" si="30"/>
        <v>1</v>
      </c>
      <c r="T178" s="2"/>
      <c r="U178" s="144"/>
      <c r="V178" s="145"/>
      <c r="W178" s="145"/>
      <c r="X178" s="145"/>
      <c r="Y178" s="146"/>
      <c r="Z178" s="90">
        <f t="shared" si="31"/>
        <v>1</v>
      </c>
      <c r="AA178" s="2"/>
      <c r="AB178" s="144"/>
      <c r="AC178" s="145"/>
      <c r="AD178" s="145"/>
      <c r="AE178" s="145"/>
      <c r="AF178" s="146"/>
      <c r="AG178" s="90">
        <f t="shared" si="32"/>
        <v>1</v>
      </c>
      <c r="AH178" s="45"/>
    </row>
    <row r="179" spans="1:34" x14ac:dyDescent="0.3">
      <c r="A179" s="35"/>
      <c r="B179" s="35"/>
      <c r="C179" s="147"/>
      <c r="D179" s="37"/>
      <c r="E179" s="148" t="s">
        <v>111</v>
      </c>
      <c r="F179" s="149"/>
      <c r="G179" s="150"/>
      <c r="H179" s="2"/>
      <c r="I179" s="151"/>
      <c r="J179" s="152"/>
      <c r="K179" s="152"/>
      <c r="L179" s="153"/>
      <c r="M179" s="43"/>
      <c r="N179" s="151"/>
      <c r="O179" s="152"/>
      <c r="P179" s="152"/>
      <c r="Q179" s="152"/>
      <c r="R179" s="153"/>
      <c r="S179" s="37">
        <f>IF(N179=$I179,1,0)</f>
        <v>1</v>
      </c>
      <c r="T179" s="2"/>
      <c r="U179" s="151"/>
      <c r="V179" s="152"/>
      <c r="W179" s="152"/>
      <c r="X179" s="152"/>
      <c r="Y179" s="153"/>
      <c r="Z179" s="37">
        <f>IF(U179=$I179,1,0)</f>
        <v>1</v>
      </c>
      <c r="AA179" s="2"/>
      <c r="AB179" s="151"/>
      <c r="AC179" s="152"/>
      <c r="AD179" s="152"/>
      <c r="AE179" s="152"/>
      <c r="AF179" s="153"/>
      <c r="AG179" s="37">
        <f>IF(AB179=$I179,1,0)</f>
        <v>1</v>
      </c>
      <c r="AH179" s="45"/>
    </row>
    <row r="180" spans="1:3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x14ac:dyDescent="0.3">
      <c r="A182" s="154" t="s">
        <v>112</v>
      </c>
      <c r="B182" s="155"/>
      <c r="C182" s="155"/>
      <c r="D182" s="156"/>
      <c r="E182" s="157" t="s">
        <v>113</v>
      </c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6"/>
      <c r="AF182" s="2"/>
      <c r="AG182" s="2"/>
      <c r="AH182" s="2"/>
    </row>
    <row r="183" spans="1:34" x14ac:dyDescent="0.3">
      <c r="A183" s="159" t="s">
        <v>114</v>
      </c>
      <c r="B183" s="160"/>
      <c r="C183" s="160"/>
      <c r="D183" s="161"/>
      <c r="E183" s="162" t="s">
        <v>115</v>
      </c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1"/>
      <c r="AF183" s="2"/>
      <c r="AG183" s="2"/>
      <c r="AH183" s="2"/>
    </row>
    <row r="184" spans="1:3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x14ac:dyDescent="0.3">
      <c r="A185" s="154" t="s">
        <v>116</v>
      </c>
      <c r="B185" s="155"/>
      <c r="C185" s="155"/>
      <c r="D185" s="156"/>
      <c r="E185" s="157" t="s">
        <v>117</v>
      </c>
      <c r="F185" s="158"/>
      <c r="G185" s="158"/>
      <c r="H185" s="156"/>
      <c r="I185" s="164">
        <v>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x14ac:dyDescent="0.3">
      <c r="A186" s="165" t="s">
        <v>118</v>
      </c>
      <c r="B186" s="166"/>
      <c r="C186" s="166"/>
      <c r="D186" s="167"/>
      <c r="E186" s="168" t="s">
        <v>119</v>
      </c>
      <c r="F186" s="169"/>
      <c r="G186" s="169"/>
      <c r="H186" s="167"/>
      <c r="I186" s="170">
        <v>3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x14ac:dyDescent="0.3">
      <c r="A187" s="165"/>
      <c r="B187" s="166"/>
      <c r="C187" s="166"/>
      <c r="D187" s="167"/>
      <c r="E187" s="168" t="s">
        <v>120</v>
      </c>
      <c r="F187" s="169"/>
      <c r="G187" s="169"/>
      <c r="H187" s="167"/>
      <c r="I187" s="170">
        <v>3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x14ac:dyDescent="0.3">
      <c r="A188" s="165"/>
      <c r="B188" s="166"/>
      <c r="C188" s="166"/>
      <c r="D188" s="167"/>
      <c r="E188" s="168" t="s">
        <v>121</v>
      </c>
      <c r="F188" s="169"/>
      <c r="G188" s="169"/>
      <c r="H188" s="167"/>
      <c r="I188" s="170">
        <v>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x14ac:dyDescent="0.3">
      <c r="A189" s="165"/>
      <c r="B189" s="166"/>
      <c r="C189" s="166"/>
      <c r="D189" s="167"/>
      <c r="E189" s="168" t="s">
        <v>122</v>
      </c>
      <c r="F189" s="169"/>
      <c r="G189" s="169"/>
      <c r="H189" s="167"/>
      <c r="I189" s="170">
        <v>1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x14ac:dyDescent="0.3">
      <c r="A190" s="168"/>
      <c r="B190" s="169"/>
      <c r="C190" s="169"/>
      <c r="D190" s="167"/>
      <c r="E190" s="168" t="s">
        <v>123</v>
      </c>
      <c r="F190" s="169"/>
      <c r="G190" s="169"/>
      <c r="H190" s="167"/>
      <c r="I190" s="170">
        <v>1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x14ac:dyDescent="0.3">
      <c r="A191" s="168"/>
      <c r="B191" s="169"/>
      <c r="C191" s="169"/>
      <c r="D191" s="167"/>
      <c r="E191" s="168" t="s">
        <v>124</v>
      </c>
      <c r="F191" s="169"/>
      <c r="G191" s="169"/>
      <c r="H191" s="167"/>
      <c r="I191" s="170">
        <v>1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x14ac:dyDescent="0.3">
      <c r="A192" s="168"/>
      <c r="B192" s="169"/>
      <c r="C192" s="169"/>
      <c r="D192" s="167"/>
      <c r="E192" s="168" t="s">
        <v>125</v>
      </c>
      <c r="F192" s="169"/>
      <c r="G192" s="169"/>
      <c r="H192" s="167"/>
      <c r="I192" s="170">
        <v>1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x14ac:dyDescent="0.3">
      <c r="A193" s="168"/>
      <c r="B193" s="169"/>
      <c r="C193" s="169"/>
      <c r="D193" s="167"/>
      <c r="E193" s="168" t="s">
        <v>126</v>
      </c>
      <c r="F193" s="169"/>
      <c r="G193" s="169"/>
      <c r="H193" s="167"/>
      <c r="I193" s="170">
        <v>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x14ac:dyDescent="0.3">
      <c r="A194" s="168"/>
      <c r="B194" s="169"/>
      <c r="C194" s="169"/>
      <c r="D194" s="167"/>
      <c r="E194" s="168" t="s">
        <v>127</v>
      </c>
      <c r="F194" s="169"/>
      <c r="G194" s="169"/>
      <c r="H194" s="167"/>
      <c r="I194" s="170">
        <v>1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x14ac:dyDescent="0.3">
      <c r="A195" s="168"/>
      <c r="B195" s="169"/>
      <c r="C195" s="169"/>
      <c r="D195" s="167"/>
      <c r="E195" s="168" t="s">
        <v>128</v>
      </c>
      <c r="F195" s="169"/>
      <c r="G195" s="169"/>
      <c r="H195" s="167"/>
      <c r="I195" s="170">
        <v>3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x14ac:dyDescent="0.3">
      <c r="A196" s="168"/>
      <c r="B196" s="169"/>
      <c r="C196" s="169"/>
      <c r="D196" s="167"/>
      <c r="E196" s="168" t="s">
        <v>129</v>
      </c>
      <c r="F196" s="169"/>
      <c r="G196" s="169"/>
      <c r="H196" s="167"/>
      <c r="I196" s="170">
        <v>1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x14ac:dyDescent="0.3">
      <c r="A197" s="168"/>
      <c r="B197" s="169"/>
      <c r="C197" s="169"/>
      <c r="D197" s="167"/>
      <c r="E197" s="168" t="s">
        <v>130</v>
      </c>
      <c r="F197" s="169"/>
      <c r="G197" s="169"/>
      <c r="H197" s="167"/>
      <c r="I197" s="170">
        <v>1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x14ac:dyDescent="0.3">
      <c r="A198" s="162"/>
      <c r="B198" s="163"/>
      <c r="C198" s="163"/>
      <c r="D198" s="161"/>
      <c r="E198" s="162" t="s">
        <v>131</v>
      </c>
      <c r="F198" s="163"/>
      <c r="G198" s="163"/>
      <c r="H198" s="161"/>
      <c r="I198" s="171">
        <v>1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</sheetData>
  <autoFilter ref="A4:D179" xr:uid="{70A1207A-D02B-4F74-879A-20E21CEBF9CA}"/>
  <mergeCells count="38">
    <mergeCell ref="E178:G178"/>
    <mergeCell ref="I178:L178"/>
    <mergeCell ref="N178:R178"/>
    <mergeCell ref="U178:Y178"/>
    <mergeCell ref="AB178:AF178"/>
    <mergeCell ref="E179:G179"/>
    <mergeCell ref="I179:L179"/>
    <mergeCell ref="N179:R179"/>
    <mergeCell ref="U179:Y179"/>
    <mergeCell ref="AB179:AF179"/>
    <mergeCell ref="E176:G176"/>
    <mergeCell ref="I176:L176"/>
    <mergeCell ref="N176:R176"/>
    <mergeCell ref="U176:Y176"/>
    <mergeCell ref="AB176:AF176"/>
    <mergeCell ref="E177:G177"/>
    <mergeCell ref="I177:L177"/>
    <mergeCell ref="N177:R177"/>
    <mergeCell ref="U177:Y177"/>
    <mergeCell ref="AB177:AF177"/>
    <mergeCell ref="E174:G174"/>
    <mergeCell ref="I174:L174"/>
    <mergeCell ref="N174:R174"/>
    <mergeCell ref="U174:Y174"/>
    <mergeCell ref="AB174:AF174"/>
    <mergeCell ref="E175:G175"/>
    <mergeCell ref="I175:L175"/>
    <mergeCell ref="N175:R175"/>
    <mergeCell ref="U175:Y175"/>
    <mergeCell ref="AB175:AF175"/>
    <mergeCell ref="N3:S3"/>
    <mergeCell ref="U3:Z3"/>
    <mergeCell ref="AB3:AG3"/>
    <mergeCell ref="E4:G4"/>
    <mergeCell ref="I4:K4"/>
    <mergeCell ref="N4:P4"/>
    <mergeCell ref="U4:W4"/>
    <mergeCell ref="AB4:AD4"/>
  </mergeCells>
  <conditionalFormatting sqref="Q5:Q173 X5:X173 AE5:AE173">
    <cfRule type="cellIs" dxfId="1" priority="37" operator="equal">
      <formula>FALSE</formula>
    </cfRule>
    <cfRule type="cellIs" dxfId="0" priority="38" operator="equal">
      <formula>TRUE</formula>
    </cfRule>
  </conditionalFormatting>
  <conditionalFormatting sqref="AN11:AN14">
    <cfRule type="iconSet" priority="35">
      <iconSet iconSet="3Symbols" showValue="0">
        <cfvo type="percent" val="0"/>
        <cfvo type="num" val="0" gte="0"/>
        <cfvo type="num" val="1"/>
      </iconSet>
    </cfRule>
  </conditionalFormatting>
  <conditionalFormatting sqref="AN17:AN20">
    <cfRule type="iconSet" priority="34">
      <iconSet iconSet="3Symbols" showValue="0">
        <cfvo type="percent" val="0"/>
        <cfvo type="num" val="0" gte="0"/>
        <cfvo type="num" val="1"/>
      </iconSet>
    </cfRule>
  </conditionalFormatting>
  <conditionalFormatting sqref="AN23:AN26">
    <cfRule type="iconSet" priority="36">
      <iconSet iconSet="3Symbols" showValue="0">
        <cfvo type="percent" val="0"/>
        <cfvo type="num" val="0" gte="0"/>
        <cfvo type="num" val="1"/>
      </iconSet>
    </cfRule>
  </conditionalFormatting>
  <conditionalFormatting sqref="AS11:AS14">
    <cfRule type="iconSet" priority="32">
      <iconSet iconSet="3Symbols" showValue="0">
        <cfvo type="percent" val="0"/>
        <cfvo type="num" val="0" gte="0"/>
        <cfvo type="num" val="1"/>
      </iconSet>
    </cfRule>
  </conditionalFormatting>
  <conditionalFormatting sqref="AS17:AS20">
    <cfRule type="iconSet" priority="10">
      <iconSet iconSet="3Symbols" showValue="0">
        <cfvo type="percent" val="0"/>
        <cfvo type="num" val="0" gte="0"/>
        <cfvo type="num" val="1"/>
      </iconSet>
    </cfRule>
  </conditionalFormatting>
  <conditionalFormatting sqref="AS23:AS26">
    <cfRule type="iconSet" priority="33">
      <iconSet iconSet="3Symbols" showValue="0">
        <cfvo type="percent" val="0"/>
        <cfvo type="num" val="0" gte="0"/>
        <cfvo type="num" val="1"/>
      </iconSet>
    </cfRule>
  </conditionalFormatting>
  <conditionalFormatting sqref="AX11:AX14">
    <cfRule type="iconSet" priority="30">
      <iconSet iconSet="3Symbols" showValue="0">
        <cfvo type="percent" val="0"/>
        <cfvo type="num" val="0" gte="0"/>
        <cfvo type="num" val="1"/>
      </iconSet>
    </cfRule>
  </conditionalFormatting>
  <conditionalFormatting sqref="AX17:AX20">
    <cfRule type="iconSet" priority="29">
      <iconSet iconSet="3Symbols" showValue="0">
        <cfvo type="percent" val="0"/>
        <cfvo type="num" val="0" gte="0"/>
        <cfvo type="num" val="1"/>
      </iconSet>
    </cfRule>
  </conditionalFormatting>
  <conditionalFormatting sqref="AX23:AX26">
    <cfRule type="iconSet" priority="31">
      <iconSet iconSet="3Symbols" showValue="0">
        <cfvo type="percent" val="0"/>
        <cfvo type="num" val="0" gte="0"/>
        <cfvo type="num" val="1"/>
      </iconSet>
    </cfRule>
  </conditionalFormatting>
  <conditionalFormatting sqref="BC11:BC14">
    <cfRule type="iconSet" priority="27">
      <iconSet iconSet="3Symbols" showValue="0">
        <cfvo type="percent" val="0"/>
        <cfvo type="num" val="0" gte="0"/>
        <cfvo type="num" val="1"/>
      </iconSet>
    </cfRule>
  </conditionalFormatting>
  <conditionalFormatting sqref="BC17:BC20">
    <cfRule type="iconSet" priority="9">
      <iconSet iconSet="3Symbols" showValue="0">
        <cfvo type="percent" val="0"/>
        <cfvo type="num" val="0" gte="0"/>
        <cfvo type="num" val="1"/>
      </iconSet>
    </cfRule>
  </conditionalFormatting>
  <conditionalFormatting sqref="BC23:BC26">
    <cfRule type="iconSet" priority="28">
      <iconSet iconSet="3Symbols" showValue="0">
        <cfvo type="percent" val="0"/>
        <cfvo type="num" val="0" gte="0"/>
        <cfvo type="num" val="1"/>
      </iconSet>
    </cfRule>
  </conditionalFormatting>
  <conditionalFormatting sqref="BH11:BH14">
    <cfRule type="iconSet" priority="25">
      <iconSet iconSet="3Symbols" showValue="0">
        <cfvo type="percent" val="0"/>
        <cfvo type="num" val="0" gte="0"/>
        <cfvo type="num" val="1"/>
      </iconSet>
    </cfRule>
  </conditionalFormatting>
  <conditionalFormatting sqref="BH17:BH20">
    <cfRule type="iconSet" priority="8">
      <iconSet iconSet="3Symbols" showValue="0">
        <cfvo type="percent" val="0"/>
        <cfvo type="num" val="0" gte="0"/>
        <cfvo type="num" val="1"/>
      </iconSet>
    </cfRule>
  </conditionalFormatting>
  <conditionalFormatting sqref="BH23:BH26">
    <cfRule type="iconSet" priority="26">
      <iconSet iconSet="3Symbols" showValue="0">
        <cfvo type="percent" val="0"/>
        <cfvo type="num" val="0" gte="0"/>
        <cfvo type="num" val="1"/>
      </iconSet>
    </cfRule>
  </conditionalFormatting>
  <conditionalFormatting sqref="BM11:BM14">
    <cfRule type="iconSet" priority="23">
      <iconSet iconSet="3Symbols" showValue="0">
        <cfvo type="percent" val="0"/>
        <cfvo type="num" val="0" gte="0"/>
        <cfvo type="num" val="1"/>
      </iconSet>
    </cfRule>
  </conditionalFormatting>
  <conditionalFormatting sqref="BM17:BM20">
    <cfRule type="iconSet" priority="7">
      <iconSet iconSet="3Symbols" showValue="0">
        <cfvo type="percent" val="0"/>
        <cfvo type="num" val="0" gte="0"/>
        <cfvo type="num" val="1"/>
      </iconSet>
    </cfRule>
  </conditionalFormatting>
  <conditionalFormatting sqref="BM23:BM26">
    <cfRule type="iconSet" priority="24">
      <iconSet iconSet="3Symbols" showValue="0">
        <cfvo type="percent" val="0"/>
        <cfvo type="num" val="0" gte="0"/>
        <cfvo type="num" val="1"/>
      </iconSet>
    </cfRule>
  </conditionalFormatting>
  <conditionalFormatting sqref="BR11:BR14">
    <cfRule type="iconSet" priority="21">
      <iconSet iconSet="3Symbols" showValue="0">
        <cfvo type="percent" val="0"/>
        <cfvo type="num" val="0" gte="0"/>
        <cfvo type="num" val="1"/>
      </iconSet>
    </cfRule>
  </conditionalFormatting>
  <conditionalFormatting sqref="BR17:BR20">
    <cfRule type="iconSet" priority="6">
      <iconSet iconSet="3Symbols" showValue="0">
        <cfvo type="percent" val="0"/>
        <cfvo type="num" val="0" gte="0"/>
        <cfvo type="num" val="1"/>
      </iconSet>
    </cfRule>
  </conditionalFormatting>
  <conditionalFormatting sqref="BR23:BR26">
    <cfRule type="iconSet" priority="22">
      <iconSet iconSet="3Symbols" showValue="0">
        <cfvo type="percent" val="0"/>
        <cfvo type="num" val="0" gte="0"/>
        <cfvo type="num" val="1"/>
      </iconSet>
    </cfRule>
  </conditionalFormatting>
  <conditionalFormatting sqref="BW11:BW14">
    <cfRule type="iconSet" priority="19">
      <iconSet iconSet="3Symbols" showValue="0">
        <cfvo type="percent" val="0"/>
        <cfvo type="num" val="0" gte="0"/>
        <cfvo type="num" val="1"/>
      </iconSet>
    </cfRule>
  </conditionalFormatting>
  <conditionalFormatting sqref="BW17:BW20">
    <cfRule type="iconSet" priority="5">
      <iconSet iconSet="3Symbols" showValue="0">
        <cfvo type="percent" val="0"/>
        <cfvo type="num" val="0" gte="0"/>
        <cfvo type="num" val="1"/>
      </iconSet>
    </cfRule>
  </conditionalFormatting>
  <conditionalFormatting sqref="BW23:BW26">
    <cfRule type="iconSet" priority="20">
      <iconSet iconSet="3Symbols" showValue="0">
        <cfvo type="percent" val="0"/>
        <cfvo type="num" val="0" gte="0"/>
        <cfvo type="num" val="1"/>
      </iconSet>
    </cfRule>
  </conditionalFormatting>
  <conditionalFormatting sqref="CB11:CB14">
    <cfRule type="iconSet" priority="17">
      <iconSet iconSet="3Symbols" showValue="0">
        <cfvo type="percent" val="0"/>
        <cfvo type="num" val="0" gte="0"/>
        <cfvo type="num" val="1"/>
      </iconSet>
    </cfRule>
  </conditionalFormatting>
  <conditionalFormatting sqref="CB17:CB20">
    <cfRule type="iconSet" priority="4">
      <iconSet iconSet="3Symbols" showValue="0">
        <cfvo type="percent" val="0"/>
        <cfvo type="num" val="0" gte="0"/>
        <cfvo type="num" val="1"/>
      </iconSet>
    </cfRule>
  </conditionalFormatting>
  <conditionalFormatting sqref="CB23:CB26">
    <cfRule type="iconSet" priority="18">
      <iconSet iconSet="3Symbols" showValue="0">
        <cfvo type="percent" val="0"/>
        <cfvo type="num" val="0" gte="0"/>
        <cfvo type="num" val="1"/>
      </iconSet>
    </cfRule>
  </conditionalFormatting>
  <conditionalFormatting sqref="CG11:CG14">
    <cfRule type="iconSet" priority="15">
      <iconSet iconSet="3Symbols" showValue="0">
        <cfvo type="percent" val="0"/>
        <cfvo type="num" val="0" gte="0"/>
        <cfvo type="num" val="1"/>
      </iconSet>
    </cfRule>
  </conditionalFormatting>
  <conditionalFormatting sqref="CG17:CG20">
    <cfRule type="iconSet" priority="3">
      <iconSet iconSet="3Symbols" showValue="0">
        <cfvo type="percent" val="0"/>
        <cfvo type="num" val="0" gte="0"/>
        <cfvo type="num" val="1"/>
      </iconSet>
    </cfRule>
  </conditionalFormatting>
  <conditionalFormatting sqref="CG23:CG26">
    <cfRule type="iconSet" priority="16">
      <iconSet iconSet="3Symbols" showValue="0">
        <cfvo type="percent" val="0"/>
        <cfvo type="num" val="0" gte="0"/>
        <cfvo type="num" val="1"/>
      </iconSet>
    </cfRule>
  </conditionalFormatting>
  <conditionalFormatting sqref="CL11:CL14">
    <cfRule type="iconSet" priority="13">
      <iconSet iconSet="3Symbols" showValue="0">
        <cfvo type="percent" val="0"/>
        <cfvo type="num" val="0" gte="0"/>
        <cfvo type="num" val="1"/>
      </iconSet>
    </cfRule>
  </conditionalFormatting>
  <conditionalFormatting sqref="CL17:CL20">
    <cfRule type="iconSet" priority="2">
      <iconSet iconSet="3Symbols" showValue="0">
        <cfvo type="percent" val="0"/>
        <cfvo type="num" val="0" gte="0"/>
        <cfvo type="num" val="1"/>
      </iconSet>
    </cfRule>
  </conditionalFormatting>
  <conditionalFormatting sqref="CL23:CL26">
    <cfRule type="iconSet" priority="14">
      <iconSet iconSet="3Symbols" showValue="0">
        <cfvo type="percent" val="0"/>
        <cfvo type="num" val="0" gte="0"/>
        <cfvo type="num" val="1"/>
      </iconSet>
    </cfRule>
  </conditionalFormatting>
  <conditionalFormatting sqref="CQ11:CQ14">
    <cfRule type="iconSet" priority="11">
      <iconSet iconSet="3Symbols" showValue="0">
        <cfvo type="percent" val="0"/>
        <cfvo type="num" val="0" gte="0"/>
        <cfvo type="num" val="1"/>
      </iconSet>
    </cfRule>
  </conditionalFormatting>
  <conditionalFormatting sqref="CQ17:CQ20">
    <cfRule type="iconSet" priority="1">
      <iconSet iconSet="3Symbols" showValue="0">
        <cfvo type="percent" val="0"/>
        <cfvo type="num" val="0" gte="0"/>
        <cfvo type="num" val="1"/>
      </iconSet>
    </cfRule>
  </conditionalFormatting>
  <conditionalFormatting sqref="CQ23:CQ26">
    <cfRule type="iconSet" priority="12">
      <iconSet iconSet="3Symbols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9" id="{66F25780-F0AB-4C18-861F-0144DB3CE595}">
            <x14:iconSet iconSet="3Symbols" showValue="0" custom="1">
              <x14:cfvo type="percent">
                <xm:f>0</xm:f>
              </x14:cfvo>
              <x14:cfvo type="num" gte="0">
                <xm:f>-1</xm:f>
              </x14:cfvo>
              <x14:cfvo type="num" gte="0">
                <xm:f>0.5</xm:f>
              </x14:cfvo>
              <x14:cfIcon iconSet="NoIcons" iconId="0"/>
              <x14:cfIcon iconSet="3Symbols" iconId="0"/>
              <x14:cfIcon iconSet="3Symbols" iconId="2"/>
            </x14:iconSet>
          </x14:cfRule>
          <xm:sqref>S5:S179 Z5:Z179 AG5:AG179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CUP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Yiannis Boikos</dc:creator>
  <cp:lastModifiedBy>Yiannis Boikos</cp:lastModifiedBy>
  <dcterms:created xsi:type="dcterms:W3CDTF">2026-06-10T16:29:17Z</dcterms:created>
  <dcterms:modified xsi:type="dcterms:W3CDTF">2026-06-10T16:34:40Z</dcterms:modified>
</cp:coreProperties>
</file>